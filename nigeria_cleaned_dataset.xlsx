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DESUWA\Downloads\"/>
    </mc:Choice>
  </mc:AlternateContent>
  <xr:revisionPtr revIDLastSave="0" documentId="13_ncr:1_{91899446-F663-4F1A-AB5D-E1C4892C8FE0}" xr6:coauthVersionLast="47" xr6:coauthVersionMax="47" xr10:uidLastSave="{00000000-0000-0000-0000-000000000000}"/>
  <bookViews>
    <workbookView xWindow="9510" yWindow="0" windowWidth="9780" windowHeight="10170" xr2:uid="{350F5A2C-96C4-457B-89A4-20D1A6280E08}"/>
  </bookViews>
  <sheets>
    <sheet name="Dashboard" sheetId="10" r:id="rId1"/>
    <sheet name="State" sheetId="4" r:id="rId2"/>
    <sheet name="product" sheetId="5" r:id="rId3"/>
    <sheet name="Monthly" sheetId="7" r:id="rId4"/>
    <sheet name="Channel" sheetId="9" r:id="rId5"/>
    <sheet name="nigeria_sales_dataset" sheetId="1" r:id="rId6"/>
  </sheets>
  <definedNames>
    <definedName name="_xlnm._FilterDatabase" localSheetId="5" hidden="1">nigeria_sales_dataset!$E$1:$E$533</definedName>
    <definedName name="Slicer_Product">#N/A</definedName>
    <definedName name="Slicer_State">#N/A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<sst xmlns="http://schemas.openxmlformats.org/spreadsheetml/2006/main" count="712" uniqueCount="320">
  <si>
    <t>State</t>
  </si>
  <si>
    <t>Product</t>
  </si>
  <si>
    <t>Units Sold</t>
  </si>
  <si>
    <t>Unit Price</t>
  </si>
  <si>
    <t>Total Sale</t>
  </si>
  <si>
    <t>Sale Date</t>
  </si>
  <si>
    <t>Sales Channel</t>
  </si>
  <si>
    <t>Order ID</t>
  </si>
  <si>
    <t>Online</t>
  </si>
  <si>
    <t>Lagos</t>
  </si>
  <si>
    <t>Headphones</t>
  </si>
  <si>
    <t>Wholesale</t>
  </si>
  <si>
    <t>Anambra</t>
  </si>
  <si>
    <t>Keyboard</t>
  </si>
  <si>
    <t>Delta</t>
  </si>
  <si>
    <t>Tablet</t>
  </si>
  <si>
    <t>Oyo</t>
  </si>
  <si>
    <t>Camera</t>
  </si>
  <si>
    <t>Direct</t>
  </si>
  <si>
    <t>Connie Lawrence</t>
  </si>
  <si>
    <t>Rivers</t>
  </si>
  <si>
    <t>45d8a6ad-77d0-459e-8114-14f8d9df0d0e</t>
  </si>
  <si>
    <t>Imo</t>
  </si>
  <si>
    <t>Kano</t>
  </si>
  <si>
    <t>Niger</t>
  </si>
  <si>
    <t>Monica Herrera</t>
  </si>
  <si>
    <t>Abuja</t>
  </si>
  <si>
    <t>Laptop</t>
  </si>
  <si>
    <t>Retail</t>
  </si>
  <si>
    <t>317304b5-c1dd-484a-aca5-8d95915a1c30</t>
  </si>
  <si>
    <t>Jamie Arnold</t>
  </si>
  <si>
    <t>a383889a-db2c-4ac8-9c67-83932ced3c0d</t>
  </si>
  <si>
    <t>Lisa Hensley</t>
  </si>
  <si>
    <t>Enugu</t>
  </si>
  <si>
    <t>Charger</t>
  </si>
  <si>
    <t>Bauchi</t>
  </si>
  <si>
    <t>Brian Ramirez</t>
  </si>
  <si>
    <t>Katsina</t>
  </si>
  <si>
    <t>ef9240b6-52d7-4f10-ba3a-6e9623ff23d3</t>
  </si>
  <si>
    <t>Holly Wood</t>
  </si>
  <si>
    <t>6231ee73-42c2-42eb-81bf-9e733f800385</t>
  </si>
  <si>
    <t>Derek Zuniga</t>
  </si>
  <si>
    <t>4459bd6e-c0f6-4229-b25d-42593c4b1eec</t>
  </si>
  <si>
    <t>Monitor</t>
  </si>
  <si>
    <t>Margaret Hawkins DDS</t>
  </si>
  <si>
    <t>3c7e5368-b159-4847-9c0b-9b10a757cb10</t>
  </si>
  <si>
    <t>Ethan Adams</t>
  </si>
  <si>
    <t>Ekiti</t>
  </si>
  <si>
    <t>afa28559-67c9-4204-a8e3-33b64e8adc4b</t>
  </si>
  <si>
    <t>Plateau</t>
  </si>
  <si>
    <t>Matthew Foster</t>
  </si>
  <si>
    <t>f0cd7f05-ea87-455e-a382-95d31e0ef546</t>
  </si>
  <si>
    <t>Kaduna</t>
  </si>
  <si>
    <t>Justin Baker</t>
  </si>
  <si>
    <t>3889936a-9d58-47e8-9e17-5b664b87959f</t>
  </si>
  <si>
    <t>Sokoto</t>
  </si>
  <si>
    <t>Phone</t>
  </si>
  <si>
    <t>Zachary Hicks</t>
  </si>
  <si>
    <t>fd247c11-bf6b-4cdf-b479-7b6127372b52</t>
  </si>
  <si>
    <t>Anthony Rodriguez</t>
  </si>
  <si>
    <t>b3b26337-6a74-4bb7-9fa5-e0aa9b11b530</t>
  </si>
  <si>
    <t>Debra Davidson</t>
  </si>
  <si>
    <t>Benue</t>
  </si>
  <si>
    <t>87365a84-725e-434d-8687-9aa914f573d0</t>
  </si>
  <si>
    <t>Jeffrey Chavez</t>
  </si>
  <si>
    <t>ead08c89-13fe-4a29-9c9d-eee0b42a0456</t>
  </si>
  <si>
    <t>Osun</t>
  </si>
  <si>
    <t>Elizabeth Fowler</t>
  </si>
  <si>
    <t>Anthony Humphrey</t>
  </si>
  <si>
    <t>6a5943ce-8364-45e3-a1c7-1aa3741423b5</t>
  </si>
  <si>
    <t>Philip Cannon</t>
  </si>
  <si>
    <t>4ee4334e-ce92-4136-ac3a-812f765e6cb5</t>
  </si>
  <si>
    <t>Borno</t>
  </si>
  <si>
    <t>eac80da1-de9f-4f5b-b2d3-545861ea2f30</t>
  </si>
  <si>
    <t>Victoria Garcia</t>
  </si>
  <si>
    <t>2099d180-8762-4997-a49f-7d888989c5ab</t>
  </si>
  <si>
    <t>Amber Kidd</t>
  </si>
  <si>
    <t>6118433b-882c-4d1e-ac93-a7918b60c511</t>
  </si>
  <si>
    <t>Tracy House</t>
  </si>
  <si>
    <t>katsina</t>
  </si>
  <si>
    <t>75eb89c2-3f5c-42f3-bacb-43a3d2c7bffb</t>
  </si>
  <si>
    <t>delta</t>
  </si>
  <si>
    <t>Angela Lopez</t>
  </si>
  <si>
    <t>23dfecd7-0e73-4dd7-86ac-1b04dd1d6cd1</t>
  </si>
  <si>
    <t>Kelly Donovan</t>
  </si>
  <si>
    <t>c5c51060-9911-41e7-93d5-63ae51a3ac26</t>
  </si>
  <si>
    <t>Michael Evans</t>
  </si>
  <si>
    <t>fc568b53-24ac-4722-a052-77394d406f1b</t>
  </si>
  <si>
    <t>Daniel Baker</t>
  </si>
  <si>
    <t>adc29178-a041-4612-acd5-8759e95d2761</t>
  </si>
  <si>
    <t>Cross River</t>
  </si>
  <si>
    <t>87ad8b26-8eaa-4841-aaa0-426df7c0d5f7</t>
  </si>
  <si>
    <t>Jessica Smith</t>
  </si>
  <si>
    <t>5efeef4f-d8dd-4bc0-b325-3aa3ec170298</t>
  </si>
  <si>
    <t>Sandra Aguilar</t>
  </si>
  <si>
    <t>608e149e-44b9-4602-8d31-812e30c36756</t>
  </si>
  <si>
    <t>Richard Henson</t>
  </si>
  <si>
    <t>abe42e7d-b96c-4163-966b-e275c2fe8954</t>
  </si>
  <si>
    <t>kaduna</t>
  </si>
  <si>
    <t>bdd151b0-f64a-46ec-b0a5-648eefe9b3d0</t>
  </si>
  <si>
    <t>Evelyn Galvan</t>
  </si>
  <si>
    <t>c11bd1c4-ffe3-4366-bf33-7a151e086f20</t>
  </si>
  <si>
    <t>Victor Baker</t>
  </si>
  <si>
    <t>340029c3-ea11-405b-91fa-cefad6f89f7a</t>
  </si>
  <si>
    <t>April Frost</t>
  </si>
  <si>
    <t>32399ffb-2704-4f25-8b91-b8cb6ae66582</t>
  </si>
  <si>
    <t>Helen Jones</t>
  </si>
  <si>
    <t>8cf6e8b8-7fd2-48c3-bee8-2983d5574241</t>
  </si>
  <si>
    <t>Michelle Evans</t>
  </si>
  <si>
    <t>7d1645a0-d253-4966-836b-9a0a41e02a89</t>
  </si>
  <si>
    <t>Dustin Jordan</t>
  </si>
  <si>
    <t>2f1dc121-7d02-4c6d-8bea-75c1b86677aa</t>
  </si>
  <si>
    <t>borno</t>
  </si>
  <si>
    <t>Jose Schultz</t>
  </si>
  <si>
    <t>2332a50e-6992-496e-81a2-5ed1c3abb5f1</t>
  </si>
  <si>
    <t>Kathy Rivas</t>
  </si>
  <si>
    <t>9ea9f508-3122-4592-bdb0-2235261e2555</t>
  </si>
  <si>
    <t>Pamela Boyd</t>
  </si>
  <si>
    <t>7580e050-67f1-498c-b594-8a545f804eeb</t>
  </si>
  <si>
    <t>Michelle Brown</t>
  </si>
  <si>
    <t>Paul Castaneda</t>
  </si>
  <si>
    <t>fa323f69-90db-4ad6-94ce-26bec8cce2c2</t>
  </si>
  <si>
    <t>Jennifer Adkins</t>
  </si>
  <si>
    <t>e5110961-1869-4217-b94d-8fcbdba3496f</t>
  </si>
  <si>
    <t>Jeffrey Johnson</t>
  </si>
  <si>
    <t>b139c476-de3c-488b-a6b9-d31a361f6d90</t>
  </si>
  <si>
    <t>Michael Powell</t>
  </si>
  <si>
    <t>45667c48-79ba-430a-9118-c400e336c243</t>
  </si>
  <si>
    <t>Nicole Herring</t>
  </si>
  <si>
    <t>6243bed7-54ec-4f33-8a62-4cbde582b678</t>
  </si>
  <si>
    <t>9879cf35-f471-4986-9d26-4599c4dd8df5</t>
  </si>
  <si>
    <t>Tina Sanders</t>
  </si>
  <si>
    <t>538d6b8c-c607-41e9-b80b-2cea658e54a2</t>
  </si>
  <si>
    <t>Ashley Barton</t>
  </si>
  <si>
    <t>3a67470c-7d98-402f-b357-41e5fe1a1ba9</t>
  </si>
  <si>
    <t>Debra Christian</t>
  </si>
  <si>
    <t>1a2bd69c-450f-49ee-82e7-9a985c238d8d</t>
  </si>
  <si>
    <t>Allen Rosales</t>
  </si>
  <si>
    <t>832f52c4-8e03-40cf-8e96-922772e76b51</t>
  </si>
  <si>
    <t>Spencer Haynes</t>
  </si>
  <si>
    <t>98d00c2c-17d3-4f32-8de1-596c5a9a206a</t>
  </si>
  <si>
    <t>Ricky Davis II</t>
  </si>
  <si>
    <t>fe2390f3-e7bb-4efc-8f3d-c97fe6b0da0a</t>
  </si>
  <si>
    <t>Katherine Salas</t>
  </si>
  <si>
    <t>70b27304-545c-488d-9cb9-075ecdd7f460</t>
  </si>
  <si>
    <t>Mark Brown</t>
  </si>
  <si>
    <t>65f30779-f6ee-4cdb-ad79-a2d1506e50c7</t>
  </si>
  <si>
    <t>Michael Bradshaw</t>
  </si>
  <si>
    <t>d908a121-d1a7-4a20-91b4-61e9b15da72d</t>
  </si>
  <si>
    <t>Susan Serrano</t>
  </si>
  <si>
    <t>2775ee42-a89e-42f2-80af-bf3f3df51967</t>
  </si>
  <si>
    <t>Christopher Parker</t>
  </si>
  <si>
    <t>Andrew Avila</t>
  </si>
  <si>
    <t>aa2960fd-a858-44df-bf8c-1097c4da2c2e</t>
  </si>
  <si>
    <t>Brandon Bailey MD</t>
  </si>
  <si>
    <t>f780ef2f-664d-4922-a590-fd3cad6ecc57</t>
  </si>
  <si>
    <t>Isaiah Avila</t>
  </si>
  <si>
    <t>adf75924-c5b8-486b-b68b-4f7e64215e66</t>
  </si>
  <si>
    <t>Kathleen Moran</t>
  </si>
  <si>
    <t>b8d49848-702b-449f-98fd-d2b979e5c9aa</t>
  </si>
  <si>
    <t>ccd015c1-ad59-40dd-9bff-3142a5e15b55</t>
  </si>
  <si>
    <t>Yvonne Burns</t>
  </si>
  <si>
    <t>6d268b37-8f52-42d3-94bb-bcf828fea761</t>
  </si>
  <si>
    <t>Kimberly Gibson</t>
  </si>
  <si>
    <t>2fb70dab-2f38-4b43-a137-f8e467b13040</t>
  </si>
  <si>
    <t>Patrick Thornton</t>
  </si>
  <si>
    <t>6df72cd3-979a-4051-b317-591a3283daa4</t>
  </si>
  <si>
    <t>Jasmin Alvarado</t>
  </si>
  <si>
    <t>36fce0ac-b469-4db3-8123-a348638abdf6</t>
  </si>
  <si>
    <t>Jonathan Lawrence</t>
  </si>
  <si>
    <t>b4299924-c098-4750-8741-9b4834ae4abd</t>
  </si>
  <si>
    <t>Shelly Alexander</t>
  </si>
  <si>
    <t>93cd1291-1004-4d82-8bc7-2f1acf08ea54</t>
  </si>
  <si>
    <t>Joyce Bowen</t>
  </si>
  <si>
    <t>89718eea-df3a-498a-8cac-2fb51a0c6c04</t>
  </si>
  <si>
    <t>Marie Christian</t>
  </si>
  <si>
    <t>637ddcd6-98d3-448b-903b-4078a39c9ec6</t>
  </si>
  <si>
    <t>Jessica Garcia</t>
  </si>
  <si>
    <t>ac0f6801-15b2-4e1d-9715-46339d4edb71</t>
  </si>
  <si>
    <t>Shelia Wallace</t>
  </si>
  <si>
    <t>3d131a3d-1e2c-4e7d-902c-f0ee224a66a6</t>
  </si>
  <si>
    <t>Stephanie Williams</t>
  </si>
  <si>
    <t>Briana Murray</t>
  </si>
  <si>
    <t>2c591da8-fff9-4acf-ae42-05eea52fc3ec</t>
  </si>
  <si>
    <t>Jeremy Reed</t>
  </si>
  <si>
    <t>dd92dd7c-0db9-47a9-9e91-a71c7374ccbf</t>
  </si>
  <si>
    <t>Amber Obrien</t>
  </si>
  <si>
    <t>90bde900-1529-46f5-aad1-1fe87d1b695e</t>
  </si>
  <si>
    <t>Heather Fields</t>
  </si>
  <si>
    <t>c7de96ea-2b0f-4e44-89e6-4c2289a0b7eb</t>
  </si>
  <si>
    <t>Carlos Ryan</t>
  </si>
  <si>
    <t>70fd6672-b80f-46c5-828f-a16b0aa6fcb9</t>
  </si>
  <si>
    <t>Ashley Hall</t>
  </si>
  <si>
    <t>9dbc15c0-2a7d-457c-ad9c-5b50a1fd4187</t>
  </si>
  <si>
    <t>Brett Burns</t>
  </si>
  <si>
    <t>0f2d5c15-eb34-4d3a-a95e-5ea9c9230c64</t>
  </si>
  <si>
    <t>Trevor Johnson</t>
  </si>
  <si>
    <t>a7e8d18e-ddf6-44ac-86fe-acd4fe1393cd</t>
  </si>
  <si>
    <t>Colton Martinez</t>
  </si>
  <si>
    <t>24655c39-7d4d-4add-a488-0945ad1db537</t>
  </si>
  <si>
    <t>Dana Martinez</t>
  </si>
  <si>
    <t>c4d598f7-e14f-4093-8b6a-d0c7a2356dd4</t>
  </si>
  <si>
    <t>David Thompson</t>
  </si>
  <si>
    <t>17d821b8-bb93-4d40-98df-f535c62dbaea</t>
  </si>
  <si>
    <t>Kayla Rodriguez</t>
  </si>
  <si>
    <t>52a74a41-44be-4486-bea5-a387363be5cb</t>
  </si>
  <si>
    <t>0bc2ea72-0c64-4ca2-8323-1466aebbb90e</t>
  </si>
  <si>
    <t>Patricia Le</t>
  </si>
  <si>
    <t>4d470ed6-a666-4769-a1d4-6f8221c50e41</t>
  </si>
  <si>
    <t>Christian Leblanc</t>
  </si>
  <si>
    <t>0d41ee47-2a5f-4a18-a61f-0b96e75f745a</t>
  </si>
  <si>
    <t>Laurie Hoffman</t>
  </si>
  <si>
    <t>Bryan Gomez</t>
  </si>
  <si>
    <t>13f3cade-7a10-413f-b6a2-c52b00473139</t>
  </si>
  <si>
    <t>Tracy Burke</t>
  </si>
  <si>
    <t>02106371-0260-4123-b1ef-e72aae13591e</t>
  </si>
  <si>
    <t>Kenneth Lewis</t>
  </si>
  <si>
    <t>1edf3bfa-d12e-4eb5-97f4-79b5b212a6ee</t>
  </si>
  <si>
    <t>Ellen Morgan</t>
  </si>
  <si>
    <t>9033da65-87cf-43fd-9183-6c4f249204c7</t>
  </si>
  <si>
    <t>Sergio Knight</t>
  </si>
  <si>
    <t>2a038ad4-a667-4982-9c3d-e1b0022b6683</t>
  </si>
  <si>
    <t>Paula Bradley</t>
  </si>
  <si>
    <t>714011a1-afc2-4cfc-9db7-284b6965d1d1</t>
  </si>
  <si>
    <t>Paul Wilson</t>
  </si>
  <si>
    <t>ca840003-5083-4fef-adec-6bbdf69777a1</t>
  </si>
  <si>
    <t>Chad Scott</t>
  </si>
  <si>
    <t>e03635fc-a88d-4108-98d9-94b8d90f74e9</t>
  </si>
  <si>
    <t>Adam Burgess</t>
  </si>
  <si>
    <t>9b5f8f39-848b-44f0-b498-17354d38e415</t>
  </si>
  <si>
    <t>Scott Williams</t>
  </si>
  <si>
    <t>c8a738ab-0df8-4e12-a56b-61e04ba8a4ca</t>
  </si>
  <si>
    <t>Brian Smith</t>
  </si>
  <si>
    <t>122dd7be-980b-481e-a359-5d1f7fe4a42e</t>
  </si>
  <si>
    <t>Ashley Hicks</t>
  </si>
  <si>
    <t>benue</t>
  </si>
  <si>
    <t>0387f74d-1149-4096-965d-744f0445c1a8</t>
  </si>
  <si>
    <t>Hannah Luna</t>
  </si>
  <si>
    <t>ec2e2815-0a32-47d2-b73a-edf8431e930f</t>
  </si>
  <si>
    <t>Joann Glass</t>
  </si>
  <si>
    <t>a3fa4069-1519-4d38-a6fb-a71db3a9dcaa</t>
  </si>
  <si>
    <t>Madison Weber</t>
  </si>
  <si>
    <t>271610c1-9db5-4283-89a3-c811895c4fde</t>
  </si>
  <si>
    <t>Angela Lin</t>
  </si>
  <si>
    <t>6fff15cc-b2dc-4c34-8f67-448e10eceb1f</t>
  </si>
  <si>
    <t>Julian Conner</t>
  </si>
  <si>
    <t>ecb4678c-1612-4aa6-be96-39ba0ed2ec9d</t>
  </si>
  <si>
    <t>Jeffrey Mills</t>
  </si>
  <si>
    <t>7f14eafa-29f0-4f7c-82e7-df89b3957a98</t>
  </si>
  <si>
    <t>425e0259-b884-46d2-928f-cf68c871d7b3</t>
  </si>
  <si>
    <t>George Harper</t>
  </si>
  <si>
    <t>bff15840-207e-463f-9f32-d5d82abe1585</t>
  </si>
  <si>
    <t>Maria Jones</t>
  </si>
  <si>
    <t>bba1aed9-44cd-4fdd-9f9b-141ec7f7bda1</t>
  </si>
  <si>
    <t>Mary Escobar</t>
  </si>
  <si>
    <t>6de8370a-ce9e-4ebd-95c3-48530783e43c</t>
  </si>
  <si>
    <t>Gregory Ponce</t>
  </si>
  <si>
    <t>a0a5fde6-939f-41a2-b99c-ea5cb65ad0f1</t>
  </si>
  <si>
    <t>Jenna Larson</t>
  </si>
  <si>
    <t>Robin Santiago</t>
  </si>
  <si>
    <t>dbff00b0-7fe6-40f3-8e31-41ec5c311464</t>
  </si>
  <si>
    <t>00a85473-8242-4912-bda3-c1623a78b64a</t>
  </si>
  <si>
    <t>Christopher Guerra</t>
  </si>
  <si>
    <t>3979d5f5-6b5b-4975-a7dc-2bc0bd9c4693</t>
  </si>
  <si>
    <t>Rhonda Martin</t>
  </si>
  <si>
    <t>ea75752d-6a8f-4acb-bf8e-2d0d52619dec</t>
  </si>
  <si>
    <t>Brenda Wright</t>
  </si>
  <si>
    <t>74ed5145-8d97-45c7-961d-5c8753c9fe59</t>
  </si>
  <si>
    <t>Brittany Kim</t>
  </si>
  <si>
    <t>ff6ef9ed-7e4c-429f-b8cb-ab4c97790e84</t>
  </si>
  <si>
    <t>Alfred Galvan</t>
  </si>
  <si>
    <t>eeb19ad2-01a1-4b0f-a68b-84b63ec0a285</t>
  </si>
  <si>
    <t>Riley Bryant</t>
  </si>
  <si>
    <t>0b3d0c36-17d0-4810-87a2-a10bb62edb49</t>
  </si>
  <si>
    <t>Taylor Carlson</t>
  </si>
  <si>
    <t>d872f72e-e5b4-41ae-bb41-c943ebd8a3b1</t>
  </si>
  <si>
    <t>Jason Beck</t>
  </si>
  <si>
    <t>bf7655d7-f97c-4c3c-b55d-814b5f5ba255</t>
  </si>
  <si>
    <t>Katie Mcneil</t>
  </si>
  <si>
    <t>0ff1c51f-915c-431b-9786-7b1213281726</t>
  </si>
  <si>
    <t>Jeanette Harrison</t>
  </si>
  <si>
    <t>21761930-f6d7-4248-a995-ecc36f5b09a6</t>
  </si>
  <si>
    <t>Evelyn Williams</t>
  </si>
  <si>
    <t>3bcdf203-459e-4674-b3e7-f042516c3b0a</t>
  </si>
  <si>
    <t>Julie Dominguez</t>
  </si>
  <si>
    <t>1be5a4c3-95af-4d0c-8528-5425c7a9f33c</t>
  </si>
  <si>
    <t>Judith Carter</t>
  </si>
  <si>
    <t>1ee89a4c-6811-44e2-9064-7c59774f6354</t>
  </si>
  <si>
    <t>Howard Norman</t>
  </si>
  <si>
    <t>4de1087b-afa1-4a55-8ebe-abaa28597b34</t>
  </si>
  <si>
    <t>Monica Miller</t>
  </si>
  <si>
    <t>4c80d33a-ad5b-43c8-8c88-0714837217e0</t>
  </si>
  <si>
    <t>Samantha Gardner</t>
  </si>
  <si>
    <t>2c82989f-fd9c-4bb0-91f1-6485429a4a7c</t>
  </si>
  <si>
    <t>Lawrence Harrington</t>
  </si>
  <si>
    <t>15839b99-a50a-43dc-b004-e897a15b2e18</t>
  </si>
  <si>
    <t>Phillip Berry</t>
  </si>
  <si>
    <t>178be968-20f8-4ba2-8f2e-32967184b713</t>
  </si>
  <si>
    <t>Mr. Justin Green III</t>
  </si>
  <si>
    <t>ec93e596-2b01-4723-8cf6-97a57603c36c</t>
  </si>
  <si>
    <t>Zachary Mitchell</t>
  </si>
  <si>
    <t>b9744cde-d259-4960-aee3-560792ea1324</t>
  </si>
  <si>
    <t>TImothy Duncan</t>
  </si>
  <si>
    <t>TImothy Romero</t>
  </si>
  <si>
    <t>Row Labels</t>
  </si>
  <si>
    <t>Grand Total</t>
  </si>
  <si>
    <t>Sum of Total Sale</t>
  </si>
  <si>
    <t>Jan</t>
  </si>
  <si>
    <t>Feb</t>
  </si>
  <si>
    <t>Mar</t>
  </si>
  <si>
    <t>Apr</t>
  </si>
  <si>
    <t>May</t>
  </si>
  <si>
    <t>Jun</t>
  </si>
  <si>
    <t>Jul</t>
  </si>
  <si>
    <t>Aug</t>
  </si>
  <si>
    <t>Sep</t>
  </si>
  <si>
    <t>Oct</t>
  </si>
  <si>
    <t>Nov</t>
  </si>
  <si>
    <t>Dec</t>
  </si>
  <si>
    <t>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</si>
</sst>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[nigeria_cleaned_dataset.xlsx]State!PivotTable3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State!$B$3</c:f>
              <c:strCache>
                <c:ptCount val="1"/>
                <c:pt idx="0">
                  <c:v>Total</c:v>
                </c:pt>
              </c:strCache>
            </c:strRef>
          </c:tx>
          <c:spPr>
            <a:solidFill>
              <a:schemeClr val="accent2"/>
            </a:solidFill>
            <a:ln>
              <a:noFill/>
            </a:ln>
            <a:effectLst/>
          </c:spPr>
          <c:invertIfNegative val="0"/>
          <c:cat>
            <c:strRef>
              <c:f>State!$A$4:$A$24</c:f>
              <c:strCache>
                <c:ptCount val="20"/>
                <c:pt idx="0">
                  <c:v>Kano</c:v>
                </c:pt>
                <c:pt idx="1">
                  <c:v>Benue</c:v>
                </c:pt>
                <c:pt idx="2">
                  <c:v>Rivers</c:v>
                </c:pt>
                <c:pt idx="3">
                  <c:v>Delta</c:v>
                </c:pt>
                <c:pt idx="4">
                  <c:v>Niger</c:v>
                </c:pt>
                <c:pt idx="5">
                  <c:v>Imo</c:v>
                </c:pt>
                <c:pt idx="6">
                  <c:v>Plateau</c:v>
                </c:pt>
                <c:pt idx="7">
                  <c:v>Kaduna</c:v>
                </c:pt>
                <c:pt idx="8">
                  <c:v>Sokoto</c:v>
                </c:pt>
                <c:pt idx="9">
                  <c:v>Osun</c:v>
                </c:pt>
                <c:pt idx="10">
                  <c:v>Lagos</c:v>
                </c:pt>
                <c:pt idx="11">
                  <c:v>Katsina</c:v>
                </c:pt>
                <c:pt idx="12">
                  <c:v>Enugu</c:v>
                </c:pt>
                <c:pt idx="13">
                  <c:v>Bauchi</c:v>
                </c:pt>
                <c:pt idx="14">
                  <c:v>Cross River</c:v>
                </c:pt>
                <c:pt idx="15">
                  <c:v>Abuja</c:v>
                </c:pt>
                <c:pt idx="16">
                  <c:v>Oyo</c:v>
                </c:pt>
                <c:pt idx="17">
                  <c:v>Borno</c:v>
                </c:pt>
                <c:pt idx="18">
                  <c:v>Ekiti</c:v>
                </c:pt>
                <c:pt idx="19">
                  <c:v>Anambra</c:v>
                </c:pt>
              </c:strCache>
            </c:strRef>
          </c:cat>
          <c:val>
            <c:numRef>
              <c:f>State!$B$4:$B$24</c:f>
              <c:numCache>
                <c:formatCode>General</c:formatCode>
                <c:ptCount val="20"/>
                <c:pt idx="0">
                  <c:v>89672804.649999976</c:v>
                </c:pt>
                <c:pt idx="1">
                  <c:v>83651542.020000011</c:v>
                </c:pt>
                <c:pt idx="2">
                  <c:v>80846826.760000005</c:v>
                </c:pt>
                <c:pt idx="3">
                  <c:v>70752955.060000002</c:v>
                </c:pt>
                <c:pt idx="4">
                  <c:v>65468608.789999999</c:v>
                </c:pt>
                <c:pt idx="5">
                  <c:v>63466338.880000003</c:v>
                </c:pt>
                <c:pt idx="6">
                  <c:v>61414056.170000002</c:v>
                </c:pt>
                <c:pt idx="7">
                  <c:v>58834730.640000001</c:v>
                </c:pt>
                <c:pt idx="8">
                  <c:v>53472874.649999999</c:v>
                </c:pt>
                <c:pt idx="9">
                  <c:v>45673673.859999999</c:v>
                </c:pt>
                <c:pt idx="10">
                  <c:v>44548407.020000003</c:v>
                </c:pt>
                <c:pt idx="11">
                  <c:v>36094558.159999996</c:v>
                </c:pt>
                <c:pt idx="12">
                  <c:v>34518737.929999992</c:v>
                </c:pt>
                <c:pt idx="13">
                  <c:v>33982869.239999995</c:v>
                </c:pt>
                <c:pt idx="14">
                  <c:v>33914235.670000002</c:v>
                </c:pt>
                <c:pt idx="15">
                  <c:v>33383113.98</c:v>
                </c:pt>
                <c:pt idx="16">
                  <c:v>28967495.850000001</c:v>
                </c:pt>
                <c:pt idx="17">
                  <c:v>23286853.239999998</c:v>
                </c:pt>
                <c:pt idx="18">
                  <c:v>16016820.989999998</c:v>
                </c:pt>
                <c:pt idx="19">
                  <c:v>11330248.52</c:v>
                </c:pt>
              </c:numCache>
            </c:numRef>
          </c:val>
          <c:extLst>
            <c:ext xmlns:c16="http://schemas.microsoft.com/office/drawing/2014/chart" uri="{C3380CC4-5D6E-409C-BE32-E72D297353CC}">
              <c16:uniqueId val="{00000000-DD94-4F9F-8ACE-00F4E307E15D}"/>
            </c:ext>
          </c:extLst>
        </c:ser>
        <c:dLbls>
          <c:showLegendKey val="0"/>
          <c:showVal val="0"/>
          <c:showCatName val="0"/>
          <c:showSerName val="0"/>
          <c:showPercent val="0"/>
          <c:showBubbleSize val="0"/>
        </c:dLbls>
        <c:gapWidth val="219"/>
        <c:overlap val="-27"/>
        <c:axId val="154237248"/>
        <c:axId val="59579808"/>
      </c:barChart>
      <c:catAx>
        <c:axId val="15423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579808"/>
        <c:crosses val="autoZero"/>
        <c:auto val="1"/>
        <c:lblAlgn val="ctr"/>
        <c:lblOffset val="100"/>
        <c:noMultiLvlLbl val="0"/>
      </c:catAx>
      <c:valAx>
        <c:axId val="5957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23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[nigeria_cleaned_dataset.xlsx]product!PivotTable4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product!$B$3</c:f>
              <c:strCache>
                <c:ptCount val="1"/>
                <c:pt idx="0">
                  <c:v>Total</c:v>
                </c:pt>
              </c:strCache>
            </c:strRef>
          </c:tx>
          <c:spPr>
            <a:solidFill>
              <a:schemeClr val="accent2"/>
            </a:solidFill>
            <a:ln>
              <a:noFill/>
            </a:ln>
            <a:effectLst/>
          </c:spPr>
          <c:invertIfNegative val="0"/>
          <c:cat>
            <c:strRef>
              <c:f>product!$A$4:$A$12</c:f>
              <c:strCache>
                <c:ptCount val="8"/>
                <c:pt idx="0">
                  <c:v>Keyboard</c:v>
                </c:pt>
                <c:pt idx="1">
                  <c:v>Phone</c:v>
                </c:pt>
                <c:pt idx="2">
                  <c:v>Tablet</c:v>
                </c:pt>
                <c:pt idx="3">
                  <c:v>Headphones</c:v>
                </c:pt>
                <c:pt idx="4">
                  <c:v>Monitor</c:v>
                </c:pt>
                <c:pt idx="5">
                  <c:v>Charger</c:v>
                </c:pt>
                <c:pt idx="6">
                  <c:v>Laptop</c:v>
                </c:pt>
                <c:pt idx="7">
                  <c:v>Camera</c:v>
                </c:pt>
              </c:strCache>
            </c:strRef>
          </c:cat>
          <c:val>
            <c:numRef>
              <c:f>product!$B$4:$B$12</c:f>
              <c:numCache>
                <c:formatCode>General</c:formatCode>
                <c:ptCount val="8"/>
                <c:pt idx="0">
                  <c:v>206557699.44</c:v>
                </c:pt>
                <c:pt idx="1">
                  <c:v>173667802.80000001</c:v>
                </c:pt>
                <c:pt idx="2">
                  <c:v>162114871.22000003</c:v>
                </c:pt>
                <c:pt idx="3">
                  <c:v>142625625.12</c:v>
                </c:pt>
                <c:pt idx="4">
                  <c:v>120789697.50999998</c:v>
                </c:pt>
                <c:pt idx="5">
                  <c:v>103068554.06</c:v>
                </c:pt>
                <c:pt idx="6">
                  <c:v>35144190.050000004</c:v>
                </c:pt>
                <c:pt idx="7">
                  <c:v>25329311.879999999</c:v>
                </c:pt>
              </c:numCache>
            </c:numRef>
          </c:val>
          <c:extLst>
            <c:ext xmlns:c16="http://schemas.microsoft.com/office/drawing/2014/chart" uri="{C3380CC4-5D6E-409C-BE32-E72D297353CC}">
              <c16:uniqueId val="{00000000-0F64-4FCB-AEE4-B90C46A58153}"/>
            </c:ext>
          </c:extLst>
        </c:ser>
        <c:dLbls>
          <c:showLegendKey val="0"/>
          <c:showVal val="0"/>
          <c:showCatName val="0"/>
          <c:showSerName val="0"/>
          <c:showPercent val="0"/>
          <c:showBubbleSize val="0"/>
        </c:dLbls>
        <c:gapWidth val="219"/>
        <c:overlap val="-27"/>
        <c:axId val="154275760"/>
        <c:axId val="59575968"/>
      </c:barChart>
      <c:catAx>
        <c:axId val="1542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575968"/>
        <c:crosses val="autoZero"/>
        <c:auto val="1"/>
        <c:lblAlgn val="ctr"/>
        <c:lblOffset val="100"/>
        <c:noMultiLvlLbl val="0"/>
      </c:catAx>
      <c:valAx>
        <c:axId val="5957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2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[nigeria_cleaned_dataset.xlsx]Monthly!PivotTable6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Monthly!$B$1</c:f>
              <c:strCache>
                <c:ptCount val="1"/>
                <c:pt idx="0">
                  <c:v>Total</c:v>
                </c:pt>
              </c:strCache>
            </c:strRef>
          </c:tx>
          <c:spPr>
            <a:solidFill>
              <a:schemeClr val="accent2"/>
            </a:solidFill>
            <a:ln>
              <a:noFill/>
            </a:ln>
            <a:effectLst/>
          </c:spPr>
          <c:invertIfNegative val="0"/>
          <c:cat>
            <c:strRef>
              <c:f>Monthly!$A$2:$A$14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Monthly!$B$2:$B$14</c:f>
              <c:numCache>
                <c:formatCode>General</c:formatCode>
                <c:ptCount val="12"/>
                <c:pt idx="0">
                  <c:v>81279673.739999995</c:v>
                </c:pt>
                <c:pt idx="1">
                  <c:v>84521744.809999987</c:v>
                </c:pt>
                <c:pt idx="2">
                  <c:v>131561731.72999999</c:v>
                </c:pt>
                <c:pt idx="3">
                  <c:v>86462779.25999999</c:v>
                </c:pt>
                <c:pt idx="4">
                  <c:v>74136738.290000007</c:v>
                </c:pt>
                <c:pt idx="5">
                  <c:v>27652005.579999998</c:v>
                </c:pt>
                <c:pt idx="6">
                  <c:v>144782838.53</c:v>
                </c:pt>
                <c:pt idx="7">
                  <c:v>62856765.850000001</c:v>
                </c:pt>
                <c:pt idx="8">
                  <c:v>79312604.99000001</c:v>
                </c:pt>
                <c:pt idx="9">
                  <c:v>56321750.93</c:v>
                </c:pt>
                <c:pt idx="10">
                  <c:v>53732655.200000003</c:v>
                </c:pt>
                <c:pt idx="11">
                  <c:v>86676463.170000017</c:v>
                </c:pt>
              </c:numCache>
            </c:numRef>
          </c:val>
          <c:extLst>
            <c:ext xmlns:c16="http://schemas.microsoft.com/office/drawing/2014/chart" uri="{C3380CC4-5D6E-409C-BE32-E72D297353CC}">
              <c16:uniqueId val="{00000000-FBA7-4F33-8B85-02E9C140EBF0}"/>
            </c:ext>
          </c:extLst>
        </c:ser>
        <c:dLbls>
          <c:showLegendKey val="0"/>
          <c:showVal val="0"/>
          <c:showCatName val="0"/>
          <c:showSerName val="0"/>
          <c:showPercent val="0"/>
          <c:showBubbleSize val="0"/>
        </c:dLbls>
        <c:gapWidth val="219"/>
        <c:overlap val="-27"/>
        <c:axId val="1792139728"/>
        <c:axId val="59576448"/>
      </c:barChart>
      <c:catAx>
        <c:axId val="179213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576448"/>
        <c:crosses val="autoZero"/>
        <c:auto val="1"/>
        <c:lblAlgn val="ctr"/>
        <c:lblOffset val="100"/>
        <c:noMultiLvlLbl val="0"/>
      </c:catAx>
      <c:valAx>
        <c:axId val="5957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213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[nigeria_cleaned_dataset.xlsx]Channel!PivotTable7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6554-49A7-B773-D1A73FAFFDEC}"/>
              </c:ext>
            </c:extLst>
          </c:dPt>
          <c:dPt>
            <c:idx val="1"/>
            <c:bubble3D val="0"/>
            <c:spPr>
              <a:solidFill>
                <a:schemeClr val="accent2"/>
              </a:solidFill>
              <a:ln>
                <a:noFill/>
              </a:ln>
              <a:effectLst/>
              <a:sp3d/>
            </c:spPr>
            <c:extLst>
              <c:ext xmlns:c16="http://schemas.microsoft.com/office/drawing/2014/chart" uri="{C3380CC4-5D6E-409C-BE32-E72D297353CC}">
                <c16:uniqueId val="{00000003-6554-49A7-B773-D1A73FAFFDEC}"/>
              </c:ext>
            </c:extLst>
          </c:dPt>
          <c:dPt>
            <c:idx val="2"/>
            <c:bubble3D val="0"/>
            <c:spPr>
              <a:solidFill>
                <a:schemeClr val="accent3"/>
              </a:solidFill>
              <a:ln>
                <a:noFill/>
              </a:ln>
              <a:effectLst/>
              <a:sp3d/>
            </c:spPr>
            <c:extLst>
              <c:ext xmlns:c16="http://schemas.microsoft.com/office/drawing/2014/chart" uri="{C3380CC4-5D6E-409C-BE32-E72D297353CC}">
                <c16:uniqueId val="{00000005-6554-49A7-B773-D1A73FAFFDEC}"/>
              </c:ext>
            </c:extLst>
          </c:dPt>
          <c:dPt>
            <c:idx val="3"/>
            <c:bubble3D val="0"/>
            <c:spPr>
              <a:solidFill>
                <a:schemeClr val="accent4"/>
              </a:solidFill>
              <a:ln>
                <a:noFill/>
              </a:ln>
              <a:effectLst/>
              <a:sp3d/>
            </c:spPr>
            <c:extLst>
              <c:ext xmlns:c16="http://schemas.microsoft.com/office/drawing/2014/chart" uri="{C3380CC4-5D6E-409C-BE32-E72D297353CC}">
                <c16:uniqueId val="{00000007-6554-49A7-B773-D1A73FAFFD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extLst>
          </c:dLbls>
          <c:cat>
            <c:strRef>
              <c:f>Channel!$A$4:$A$8</c:f>
              <c:strCache>
                <c:ptCount val="4"/>
                <c:pt idx="0">
                  <c:v>Direct</c:v>
                </c:pt>
                <c:pt idx="1">
                  <c:v>Online</c:v>
                </c:pt>
                <c:pt idx="2">
                  <c:v>Retail</c:v>
                </c:pt>
                <c:pt idx="3">
                  <c:v>Wholesale</c:v>
                </c:pt>
              </c:strCache>
            </c:strRef>
          </c:cat>
          <c:val>
            <c:numRef>
              <c:f>Channel!$B$4:$B$8</c:f>
              <c:numCache>
                <c:formatCode>General</c:formatCode>
                <c:ptCount val="4"/>
                <c:pt idx="0">
                  <c:v>165491252.41999993</c:v>
                </c:pt>
                <c:pt idx="1">
                  <c:v>235803206.77000001</c:v>
                </c:pt>
                <c:pt idx="2">
                  <c:v>215225668.47999999</c:v>
                </c:pt>
                <c:pt idx="3">
                  <c:v>167084548.56</c:v>
                </c:pt>
              </c:numCache>
            </c:numRef>
          </c:val>
          <c:extLst>
            <c:ext xmlns:c16="http://schemas.microsoft.com/office/drawing/2014/chart" uri="{C3380CC4-5D6E-409C-BE32-E72D297353CC}">
              <c16:uniqueId val="{0000000A-6554-49A7-B773-D1A73FAFFDEC}"/>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[nigeria_cleaned_dataset.xlsx]State!PivotTable3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State!$B$3</c:f>
              <c:strCache>
                <c:ptCount val="1"/>
                <c:pt idx="0">
                  <c:v>Total</c:v>
                </c:pt>
              </c:strCache>
            </c:strRef>
          </c:tx>
          <c:spPr>
            <a:solidFill>
              <a:schemeClr val="accent1"/>
            </a:solidFill>
            <a:ln>
              <a:noFill/>
            </a:ln>
            <a:effectLst/>
          </c:spPr>
          <c:invertIfNegative val="0"/>
          <c:cat>
            <c:strRef>
              <c:f>State!$A$4:$A$24</c:f>
              <c:strCache>
                <c:ptCount val="20"/>
                <c:pt idx="0">
                  <c:v>Kano</c:v>
                </c:pt>
                <c:pt idx="1">
                  <c:v>Benue</c:v>
                </c:pt>
                <c:pt idx="2">
                  <c:v>Rivers</c:v>
                </c:pt>
                <c:pt idx="3">
                  <c:v>Delta</c:v>
                </c:pt>
                <c:pt idx="4">
                  <c:v>Niger</c:v>
                </c:pt>
                <c:pt idx="5">
                  <c:v>Imo</c:v>
                </c:pt>
                <c:pt idx="6">
                  <c:v>Plateau</c:v>
                </c:pt>
                <c:pt idx="7">
                  <c:v>Kaduna</c:v>
                </c:pt>
                <c:pt idx="8">
                  <c:v>Sokoto</c:v>
                </c:pt>
                <c:pt idx="9">
                  <c:v>Osun</c:v>
                </c:pt>
                <c:pt idx="10">
                  <c:v>Lagos</c:v>
                </c:pt>
                <c:pt idx="11">
                  <c:v>Katsina</c:v>
                </c:pt>
                <c:pt idx="12">
                  <c:v>Enugu</c:v>
                </c:pt>
                <c:pt idx="13">
                  <c:v>Bauchi</c:v>
                </c:pt>
                <c:pt idx="14">
                  <c:v>Cross River</c:v>
                </c:pt>
                <c:pt idx="15">
                  <c:v>Abuja</c:v>
                </c:pt>
                <c:pt idx="16">
                  <c:v>Oyo</c:v>
                </c:pt>
                <c:pt idx="17">
                  <c:v>Borno</c:v>
                </c:pt>
                <c:pt idx="18">
                  <c:v>Ekiti</c:v>
                </c:pt>
                <c:pt idx="19">
                  <c:v>Anambra</c:v>
                </c:pt>
              </c:strCache>
            </c:strRef>
          </c:cat>
          <c:val>
            <c:numRef>
              <c:f>State!$B$4:$B$24</c:f>
              <c:numCache>
                <c:formatCode>General</c:formatCode>
                <c:ptCount val="20"/>
                <c:pt idx="0">
                  <c:v>89672804.649999976</c:v>
                </c:pt>
                <c:pt idx="1">
                  <c:v>83651542.020000011</c:v>
                </c:pt>
                <c:pt idx="2">
                  <c:v>80846826.760000005</c:v>
                </c:pt>
                <c:pt idx="3">
                  <c:v>70752955.060000002</c:v>
                </c:pt>
                <c:pt idx="4">
                  <c:v>65468608.789999999</c:v>
                </c:pt>
                <c:pt idx="5">
                  <c:v>63466338.880000003</c:v>
                </c:pt>
                <c:pt idx="6">
                  <c:v>61414056.170000002</c:v>
                </c:pt>
                <c:pt idx="7">
                  <c:v>58834730.640000001</c:v>
                </c:pt>
                <c:pt idx="8">
                  <c:v>53472874.649999999</c:v>
                </c:pt>
                <c:pt idx="9">
                  <c:v>45673673.859999999</c:v>
                </c:pt>
                <c:pt idx="10">
                  <c:v>44548407.020000003</c:v>
                </c:pt>
                <c:pt idx="11">
                  <c:v>36094558.159999996</c:v>
                </c:pt>
                <c:pt idx="12">
                  <c:v>34518737.929999992</c:v>
                </c:pt>
                <c:pt idx="13">
                  <c:v>33982869.239999995</c:v>
                </c:pt>
                <c:pt idx="14">
                  <c:v>33914235.670000002</c:v>
                </c:pt>
                <c:pt idx="15">
                  <c:v>33383113.98</c:v>
                </c:pt>
                <c:pt idx="16">
                  <c:v>28967495.850000001</c:v>
                </c:pt>
                <c:pt idx="17">
                  <c:v>23286853.239999998</c:v>
                </c:pt>
                <c:pt idx="18">
                  <c:v>16016820.989999998</c:v>
                </c:pt>
                <c:pt idx="19">
                  <c:v>11330248.52</c:v>
                </c:pt>
              </c:numCache>
            </c:numRef>
          </c:val>
          <c:extLst>
            <c:ext xmlns:c16="http://schemas.microsoft.com/office/drawing/2014/chart" uri="{C3380CC4-5D6E-409C-BE32-E72D297353CC}">
              <c16:uniqueId val="{00000000-887F-4B10-8144-2943EB6A606C}"/>
            </c:ext>
          </c:extLst>
        </c:ser>
        <c:dLbls>
          <c:showLegendKey val="0"/>
          <c:showVal val="0"/>
          <c:showCatName val="0"/>
          <c:showSerName val="0"/>
          <c:showPercent val="0"/>
          <c:showBubbleSize val="0"/>
        </c:dLbls>
        <c:gapWidth val="219"/>
        <c:overlap val="-27"/>
        <c:axId val="154237248"/>
        <c:axId val="59579808"/>
      </c:barChart>
      <c:catAx>
        <c:axId val="15423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579808"/>
        <c:crosses val="autoZero"/>
        <c:auto val="1"/>
        <c:lblAlgn val="ctr"/>
        <c:lblOffset val="100"/>
        <c:noMultiLvlLbl val="0"/>
      </c:catAx>
      <c:valAx>
        <c:axId val="5957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23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[nigeria_cleaned_dataset.xlsx]product!PivotTable4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product!$B$3</c:f>
              <c:strCache>
                <c:ptCount val="1"/>
                <c:pt idx="0">
                  <c:v>Total</c:v>
                </c:pt>
              </c:strCache>
            </c:strRef>
          </c:tx>
          <c:spPr>
            <a:solidFill>
              <a:schemeClr val="accent1"/>
            </a:solidFill>
            <a:ln>
              <a:noFill/>
            </a:ln>
            <a:effectLst/>
          </c:spPr>
          <c:invertIfNegative val="0"/>
          <c:cat>
            <c:strRef>
              <c:f>product!$A$4:$A$12</c:f>
              <c:strCache>
                <c:ptCount val="8"/>
                <c:pt idx="0">
                  <c:v>Keyboard</c:v>
                </c:pt>
                <c:pt idx="1">
                  <c:v>Phone</c:v>
                </c:pt>
                <c:pt idx="2">
                  <c:v>Tablet</c:v>
                </c:pt>
                <c:pt idx="3">
                  <c:v>Headphones</c:v>
                </c:pt>
                <c:pt idx="4">
                  <c:v>Monitor</c:v>
                </c:pt>
                <c:pt idx="5">
                  <c:v>Charger</c:v>
                </c:pt>
                <c:pt idx="6">
                  <c:v>Laptop</c:v>
                </c:pt>
                <c:pt idx="7">
                  <c:v>Camera</c:v>
                </c:pt>
              </c:strCache>
            </c:strRef>
          </c:cat>
          <c:val>
            <c:numRef>
              <c:f>product!$B$4:$B$12</c:f>
              <c:numCache>
                <c:formatCode>General</c:formatCode>
                <c:ptCount val="8"/>
                <c:pt idx="0">
                  <c:v>206557699.44</c:v>
                </c:pt>
                <c:pt idx="1">
                  <c:v>173667802.80000001</c:v>
                </c:pt>
                <c:pt idx="2">
                  <c:v>162114871.22000003</c:v>
                </c:pt>
                <c:pt idx="3">
                  <c:v>142625625.12</c:v>
                </c:pt>
                <c:pt idx="4">
                  <c:v>120789697.50999998</c:v>
                </c:pt>
                <c:pt idx="5">
                  <c:v>103068554.06</c:v>
                </c:pt>
                <c:pt idx="6">
                  <c:v>35144190.050000004</c:v>
                </c:pt>
                <c:pt idx="7">
                  <c:v>25329311.879999999</c:v>
                </c:pt>
              </c:numCache>
            </c:numRef>
          </c:val>
          <c:extLst>
            <c:ext xmlns:c16="http://schemas.microsoft.com/office/drawing/2014/chart" uri="{C3380CC4-5D6E-409C-BE32-E72D297353CC}">
              <c16:uniqueId val="{00000000-19DD-42BB-8A61-80F7E7B29C54}"/>
            </c:ext>
          </c:extLst>
        </c:ser>
        <c:dLbls>
          <c:showLegendKey val="0"/>
          <c:showVal val="0"/>
          <c:showCatName val="0"/>
          <c:showSerName val="0"/>
          <c:showPercent val="0"/>
          <c:showBubbleSize val="0"/>
        </c:dLbls>
        <c:gapWidth val="219"/>
        <c:overlap val="-27"/>
        <c:axId val="154275760"/>
        <c:axId val="59575968"/>
      </c:barChart>
      <c:catAx>
        <c:axId val="1542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575968"/>
        <c:crosses val="autoZero"/>
        <c:auto val="1"/>
        <c:lblAlgn val="ctr"/>
        <c:lblOffset val="100"/>
        <c:noMultiLvlLbl val="0"/>
      </c:catAx>
      <c:valAx>
        <c:axId val="5957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2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[nigeria_cleaned_dataset.xlsx]Monthly!PivotTable6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Monthly!$B$1</c:f>
              <c:strCache>
                <c:ptCount val="1"/>
                <c:pt idx="0">
                  <c:v>Total</c:v>
                </c:pt>
              </c:strCache>
            </c:strRef>
          </c:tx>
          <c:spPr>
            <a:solidFill>
              <a:schemeClr val="accent1"/>
            </a:solidFill>
            <a:ln>
              <a:noFill/>
            </a:ln>
            <a:effectLst/>
          </c:spPr>
          <c:invertIfNegative val="0"/>
          <c:cat>
            <c:strRef>
              <c:f>Monthly!$A$2:$A$14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Monthly!$B$2:$B$14</c:f>
              <c:numCache>
                <c:formatCode>General</c:formatCode>
                <c:ptCount val="12"/>
                <c:pt idx="0">
                  <c:v>81279673.739999995</c:v>
                </c:pt>
                <c:pt idx="1">
                  <c:v>84521744.809999987</c:v>
                </c:pt>
                <c:pt idx="2">
                  <c:v>131561731.72999999</c:v>
                </c:pt>
                <c:pt idx="3">
                  <c:v>86462779.25999999</c:v>
                </c:pt>
                <c:pt idx="4">
                  <c:v>74136738.290000007</c:v>
                </c:pt>
                <c:pt idx="5">
                  <c:v>27652005.579999998</c:v>
                </c:pt>
                <c:pt idx="6">
                  <c:v>144782838.53</c:v>
                </c:pt>
                <c:pt idx="7">
                  <c:v>62856765.850000001</c:v>
                </c:pt>
                <c:pt idx="8">
                  <c:v>79312604.99000001</c:v>
                </c:pt>
                <c:pt idx="9">
                  <c:v>56321750.93</c:v>
                </c:pt>
                <c:pt idx="10">
                  <c:v>53732655.200000003</c:v>
                </c:pt>
                <c:pt idx="11">
                  <c:v>86676463.170000017</c:v>
                </c:pt>
              </c:numCache>
            </c:numRef>
          </c:val>
          <c:extLst>
            <c:ext xmlns:c16="http://schemas.microsoft.com/office/drawing/2014/chart" uri="{C3380CC4-5D6E-409C-BE32-E72D297353CC}">
              <c16:uniqueId val="{00000000-3387-445B-B8DC-D65E7685245A}"/>
            </c:ext>
          </c:extLst>
        </c:ser>
        <c:dLbls>
          <c:showLegendKey val="0"/>
          <c:showVal val="0"/>
          <c:showCatName val="0"/>
          <c:showSerName val="0"/>
          <c:showPercent val="0"/>
          <c:showBubbleSize val="0"/>
        </c:dLbls>
        <c:gapWidth val="219"/>
        <c:overlap val="-27"/>
        <c:axId val="1792139728"/>
        <c:axId val="59576448"/>
      </c:barChart>
      <c:catAx>
        <c:axId val="179213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576448"/>
        <c:crosses val="autoZero"/>
        <c:auto val="1"/>
        <c:lblAlgn val="ctr"/>
        <c:lblOffset val="100"/>
        <c:noMultiLvlLbl val="0"/>
      </c:catAx>
      <c:valAx>
        <c:axId val="5957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213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[nigeria_cleaned_dataset.xlsx]Channel!PivotTable7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Channel!$B$3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2C9-4786-92DD-398CB1CB93BA}"/>
              </c:ext>
            </c:extLst>
          </c:dPt>
          <c:dPt>
            <c:idx val="1"/>
            <c:bubble3D val="0"/>
            <c:spPr>
              <a:solidFill>
                <a:schemeClr val="accent2"/>
              </a:solidFill>
              <a:ln>
                <a:noFill/>
              </a:ln>
              <a:effectLst/>
            </c:spPr>
            <c:extLst>
              <c:ext xmlns:c16="http://schemas.microsoft.com/office/drawing/2014/chart" uri="{C3380CC4-5D6E-409C-BE32-E72D297353CC}">
                <c16:uniqueId val="{00000003-12C9-4786-92DD-398CB1CB93BA}"/>
              </c:ext>
            </c:extLst>
          </c:dPt>
          <c:dPt>
            <c:idx val="2"/>
            <c:bubble3D val="0"/>
            <c:spPr>
              <a:solidFill>
                <a:schemeClr val="accent3"/>
              </a:solidFill>
              <a:ln>
                <a:noFill/>
              </a:ln>
              <a:effectLst/>
            </c:spPr>
            <c:extLst>
              <c:ext xmlns:c16="http://schemas.microsoft.com/office/drawing/2014/chart" uri="{C3380CC4-5D6E-409C-BE32-E72D297353CC}">
                <c16:uniqueId val="{00000005-12C9-4786-92DD-398CB1CB93BA}"/>
              </c:ext>
            </c:extLst>
          </c:dPt>
          <c:dPt>
            <c:idx val="3"/>
            <c:bubble3D val="0"/>
            <c:spPr>
              <a:solidFill>
                <a:schemeClr val="accent4"/>
              </a:solidFill>
              <a:ln>
                <a:noFill/>
              </a:ln>
              <a:effectLst/>
            </c:spPr>
            <c:extLst>
              <c:ext xmlns:c16="http://schemas.microsoft.com/office/drawing/2014/chart" uri="{C3380CC4-5D6E-409C-BE32-E72D297353CC}">
                <c16:uniqueId val="{00000007-12C9-4786-92DD-398CB1CB93BA}"/>
              </c:ext>
            </c:extLst>
          </c:dPt>
          <c:cat>
            <c:strRef>
              <c:f>Channel!$A$4:$A$8</c:f>
              <c:strCache>
                <c:ptCount val="4"/>
                <c:pt idx="0">
                  <c:v>Direct</c:v>
                </c:pt>
                <c:pt idx="1">
                  <c:v>Online</c:v>
                </c:pt>
                <c:pt idx="2">
                  <c:v>Retail</c:v>
                </c:pt>
                <c:pt idx="3">
                  <c:v>Wholesale</c:v>
                </c:pt>
              </c:strCache>
            </c:strRef>
          </c:cat>
          <c:val>
            <c:numRef>
              <c:f>Channel!$B$4:$B$8</c:f>
              <c:numCache>
                <c:formatCode>General</c:formatCode>
                <c:ptCount val="4"/>
                <c:pt idx="0">
                  <c:v>165491252.41999993</c:v>
                </c:pt>
                <c:pt idx="1">
                  <c:v>235803206.77000001</c:v>
                </c:pt>
                <c:pt idx="2">
                  <c:v>215225668.47999999</c:v>
                </c:pt>
                <c:pt idx="3">
                  <c:v>167084548.56</c:v>
                </c:pt>
              </c:numCache>
            </c:numRef>
          </c:val>
          <c:extLst>
            <c:ext xmlns:c16="http://schemas.microsoft.com/office/drawing/2014/chart" uri="{C3380CC4-5D6E-409C-BE32-E72D297353CC}">
              <c16:uniqueId val="{00000000-7FDD-4430-B3AE-58779C9F3B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6350</xdr:rowOff>
    </xdr:from>
    <xdr:to>
      <xdr:col>7</xdr:col>
      <xdr:colOff>304800</xdr:colOff>
      <xdr:row>30</xdr:row>
      <xdr:rowOff>171450</xdr:rowOff>
    </xdr:to>
    <xdr:graphicFrame macro="">
      <xdr:nvGraphicFramePr>
        <xdr:cNvPr id="2" name="Chart 1">
          <a:extLst>
            <a:ext uri="{FF2B5EF4-FFF2-40B4-BE49-F238E27FC236}">
              <a16:creationId xmlns:a16="http://schemas.microsoft.com/office/drawing/2014/main" id="{285E60B2-688F-4C2A-91DC-D114178F7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16</xdr:row>
      <xdr:rowOff>0</xdr:rowOff>
    </xdr:from>
    <xdr:to>
      <xdr:col>16</xdr:col>
      <xdr:colOff>323850</xdr:colOff>
      <xdr:row>30</xdr:row>
      <xdr:rowOff>165100</xdr:rowOff>
    </xdr:to>
    <xdr:graphicFrame macro="">
      <xdr:nvGraphicFramePr>
        <xdr:cNvPr id="3" name="Chart 2">
          <a:extLst>
            <a:ext uri="{FF2B5EF4-FFF2-40B4-BE49-F238E27FC236}">
              <a16:creationId xmlns:a16="http://schemas.microsoft.com/office/drawing/2014/main" id="{EEA1787E-4DB9-4BF9-B4A8-4811B5BCE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177800</xdr:rowOff>
    </xdr:from>
    <xdr:to>
      <xdr:col>7</xdr:col>
      <xdr:colOff>304800</xdr:colOff>
      <xdr:row>48</xdr:row>
      <xdr:rowOff>158750</xdr:rowOff>
    </xdr:to>
    <xdr:graphicFrame macro="">
      <xdr:nvGraphicFramePr>
        <xdr:cNvPr id="4" name="Chart 3">
          <a:extLst>
            <a:ext uri="{FF2B5EF4-FFF2-40B4-BE49-F238E27FC236}">
              <a16:creationId xmlns:a16="http://schemas.microsoft.com/office/drawing/2014/main" id="{513EF947-CA1B-4230-928B-6DD8936BE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33</xdr:row>
      <xdr:rowOff>177800</xdr:rowOff>
    </xdr:from>
    <xdr:to>
      <xdr:col>16</xdr:col>
      <xdr:colOff>323850</xdr:colOff>
      <xdr:row>48</xdr:row>
      <xdr:rowOff>158750</xdr:rowOff>
    </xdr:to>
    <xdr:graphicFrame macro="">
      <xdr:nvGraphicFramePr>
        <xdr:cNvPr id="5" name="Chart 4">
          <a:extLst>
            <a:ext uri="{FF2B5EF4-FFF2-40B4-BE49-F238E27FC236}">
              <a16:creationId xmlns:a16="http://schemas.microsoft.com/office/drawing/2014/main" id="{AE32AE51-57B6-456C-BEA8-E976157D9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241300</xdr:colOff>
      <xdr:row>1</xdr:row>
      <xdr:rowOff>0</xdr:rowOff>
    </xdr:from>
    <xdr:to>
      <xdr:col>4</xdr:col>
      <xdr:colOff>241300</xdr:colOff>
      <xdr:row>14</xdr:row>
      <xdr:rowOff>130175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7197A923-B9F0-4EBD-0A51-44BD669F44B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51877" y="185615"/>
              <a:ext cx="1831731" cy="2543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285750</xdr:colOff>
      <xdr:row>1</xdr:row>
      <xdr:rowOff>0</xdr:rowOff>
    </xdr:from>
    <xdr:to>
      <xdr:col>7</xdr:col>
      <xdr:colOff>285750</xdr:colOff>
      <xdr:row>14</xdr:row>
      <xdr:rowOff>130175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35A63CC0-8B1E-5918-CCA1-2DA47FFEAC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28058" y="185615"/>
              <a:ext cx="1831730" cy="2543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88900</xdr:colOff>
      <xdr:row>5</xdr:row>
      <xdr:rowOff>22225</xdr:rowOff>
    </xdr:from>
    <xdr:to>
      <xdr:col>10</xdr:col>
      <xdr:colOff>393700</xdr:colOff>
      <xdr:row>20</xdr:row>
      <xdr:rowOff>3175</xdr:rowOff>
    </xdr:to>
    <xdr:graphicFrame macro="">
      <xdr:nvGraphicFramePr>
        <xdr:cNvPr id="2" name="Chart 1">
          <a:extLst>
            <a:ext uri="{FF2B5EF4-FFF2-40B4-BE49-F238E27FC236}">
              <a16:creationId xmlns:a16="http://schemas.microsoft.com/office/drawing/2014/main" id="{2B9DA326-BFB6-1E2B-0DB1-B6BD67DCA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536575</xdr:colOff>
      <xdr:row>5</xdr:row>
      <xdr:rowOff>22225</xdr:rowOff>
    </xdr:from>
    <xdr:to>
      <xdr:col>13</xdr:col>
      <xdr:colOff>231775</xdr:colOff>
      <xdr:row>20</xdr:row>
      <xdr:rowOff>3175</xdr:rowOff>
    </xdr:to>
    <xdr:graphicFrame macro="">
      <xdr:nvGraphicFramePr>
        <xdr:cNvPr id="2" name="Chart 1">
          <a:extLst>
            <a:ext uri="{FF2B5EF4-FFF2-40B4-BE49-F238E27FC236}">
              <a16:creationId xmlns:a16="http://schemas.microsoft.com/office/drawing/2014/main" id="{C0CF4655-BD04-BF20-59FD-4AB0B424C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6DDC0A78-4B83-D6CD-4AB2-7943F16FE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536575</xdr:colOff>
      <xdr:row>5</xdr:row>
      <xdr:rowOff>22225</xdr:rowOff>
    </xdr:from>
    <xdr:to>
      <xdr:col>13</xdr:col>
      <xdr:colOff>231775</xdr:colOff>
      <xdr:row>20</xdr:row>
      <xdr:rowOff>3175</xdr:rowOff>
    </xdr:to>
    <xdr:graphicFrame macro="">
      <xdr:nvGraphicFramePr>
        <xdr:cNvPr id="2" name="Chart 1">
          <a:extLst>
            <a:ext uri="{FF2B5EF4-FFF2-40B4-BE49-F238E27FC236}">
              <a16:creationId xmlns:a16="http://schemas.microsoft.com/office/drawing/2014/main" id="{FF32F847-ED1B-8DE9-0709-138002244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UWA" refreshedDate="46307.656765277781" createdVersion="8" refreshedVersion="8" minRefreshableVersion="3" recordCount="137" xr:uid="{A1D01C25-8B6E-4902-B76B-0B6323B82896}">
  <cacheSource type="worksheet">
    <worksheetSource ref="A1:I138" sheet="nigeria_sales_dataset"/>
  </cacheSource>
  <cacheFields count="12">
    <cacheField name="a" numFmtId="0">
      <sharedItems containsBlank="1"/>
    </cacheField>
    <cacheField name="State" numFmtId="0">
      <sharedItems count="20">
        <s v="Rivers"/>
        <s v="Abuja"/>
        <s v="Lagos"/>
        <s v="Enugu"/>
        <s v="Katsina"/>
        <s v="Imo"/>
        <s v="Niger"/>
        <s v="Ekiti"/>
        <s v="Anambra"/>
        <s v="Oyo"/>
        <s v="Benue"/>
        <s v="Kaduna"/>
        <s v="Kano"/>
        <s v="Plateau"/>
        <s v="Delta"/>
        <s v="Bauchi"/>
        <s v="Cross River"/>
        <s v="Sokoto"/>
        <s v="Borno"/>
        <s v="Osun"/>
      </sharedItems>
    </cacheField>
    <cacheField name="Product" numFmtId="0">
      <sharedItems count="8">
        <s v="Tablet"/>
        <s v="Laptop"/>
        <s v="Headphones"/>
        <s v="Charger"/>
        <s v="Monitor"/>
        <s v="Camera"/>
        <s v="Phone"/>
        <s v="Keyboard"/>
      </sharedItems>
    </cacheField>
    <cacheField name="Units Sold" numFmtId="0">
      <sharedItems containsSemiMixedTypes="0" containsString="0" containsNumber="1" containsInteger="1" minValue="1" maxValue="100"/>
    </cacheField>
    <cacheField name="Unit Price" numFmtId="0">
      <sharedItems containsSemiMixedTypes="0" containsString="0" containsNumber="1" minValue="2411.96" maxValue="298048.28999999998"/>
    </cacheField>
    <cacheField name="Total Sale" numFmtId="0">
      <sharedItems containsSemiMixedTypes="0" containsString="0" containsNumber="1" minValue="57887.040000000001" maxValue="28734589.800000001"/>
    </cacheField>
    <cacheField name="Sale Date" numFmtId="14">
      <sharedItems containsSemiMixedTypes="0" containsNonDate="0" containsDate="1" containsString="0" minDate="2023-07-29T00:00:00" maxDate="2025-07-10T00:00:00" count="127">
        <d v="2024-09-10T00:00:00"/>
        <d v="2025-05-02T00:00:00"/>
        <d v="2023-11-10T00:00:00"/>
        <d v="2025-01-12T00:00:00"/>
        <d v="2024-11-17T00:00:00"/>
        <d v="2023-11-23T00:00:00"/>
        <d v="2025-03-18T00:00:00"/>
        <d v="2024-01-01T00:00:00"/>
        <d v="2023-12-14T00:00:00"/>
        <d v="2024-01-10T00:00:00"/>
        <d v="2024-07-28T00:00:00"/>
        <d v="2024-04-16T00:00:00"/>
        <d v="2024-09-13T00:00:00"/>
        <d v="2024-09-11T00:00:00"/>
        <d v="2023-10-19T00:00:00"/>
        <d v="2023-08-31T00:00:00"/>
        <d v="2024-07-16T00:00:00"/>
        <d v="2024-05-25T00:00:00"/>
        <d v="2024-12-20T00:00:00"/>
        <d v="2025-04-14T00:00:00"/>
        <d v="2023-11-29T00:00:00"/>
        <d v="2025-02-26T00:00:00"/>
        <d v="2024-03-03T00:00:00"/>
        <d v="2025-07-06T00:00:00"/>
        <d v="2024-01-02T00:00:00"/>
        <d v="2025-06-05T00:00:00"/>
        <d v="2024-03-02T00:00:00"/>
        <d v="2023-09-21T00:00:00"/>
        <d v="2024-11-19T00:00:00"/>
        <d v="2023-11-07T00:00:00"/>
        <d v="2025-01-20T00:00:00"/>
        <d v="2025-06-10T00:00:00"/>
        <d v="2023-09-12T00:00:00"/>
        <d v="2024-02-01T00:00:00"/>
        <d v="2023-12-21T00:00:00"/>
        <d v="2024-09-27T00:00:00"/>
        <d v="2024-07-31T00:00:00"/>
        <d v="2024-11-20T00:00:00"/>
        <d v="2024-06-16T00:00:00"/>
        <d v="2024-07-05T00:00:00"/>
        <d v="2023-10-30T00:00:00"/>
        <d v="2025-05-09T00:00:00"/>
        <d v="2024-04-04T00:00:00"/>
        <d v="2023-10-20T00:00:00"/>
        <d v="2025-02-20T00:00:00"/>
        <d v="2024-01-19T00:00:00"/>
        <d v="2025-05-12T00:00:00"/>
        <d v="2024-05-30T00:00:00"/>
        <d v="2025-05-13T00:00:00"/>
        <d v="2025-02-22T00:00:00"/>
        <d v="2024-08-13T00:00:00"/>
        <d v="2024-08-01T00:00:00"/>
        <d v="2023-07-29T00:00:00"/>
        <d v="2024-10-17T00:00:00"/>
        <d v="2024-07-10T00:00:00"/>
        <d v="2025-02-23T00:00:00"/>
        <d v="2023-08-15T00:00:00"/>
        <d v="2024-05-17T00:00:00"/>
        <d v="2024-05-06T00:00:00"/>
        <d v="2023-10-11T00:00:00"/>
        <d v="2025-07-09T00:00:00"/>
        <d v="2024-10-20T00:00:00"/>
        <d v="2024-08-02T00:00:00"/>
        <d v="2025-01-15T00:00:00"/>
        <d v="2024-03-25T00:00:00"/>
        <d v="2024-07-12T00:00:00"/>
        <d v="2024-08-17T00:00:00"/>
        <d v="2024-06-29T00:00:00"/>
        <d v="2024-08-14T00:00:00"/>
        <d v="2024-03-14T00:00:00"/>
        <d v="2023-11-14T00:00:00"/>
        <d v="2024-05-11T00:00:00"/>
        <d v="2024-03-28T00:00:00"/>
        <d v="2024-08-09T00:00:00"/>
        <d v="2025-04-04T00:00:00"/>
        <d v="2024-03-24T00:00:00"/>
        <d v="2025-03-20T00:00:00"/>
        <d v="2025-03-10T00:00:00"/>
        <d v="2024-08-21T00:00:00"/>
        <d v="2024-11-10T00:00:00"/>
        <d v="2025-04-24T00:00:00"/>
        <d v="2025-04-09T00:00:00"/>
        <d v="2024-01-15T00:00:00"/>
        <d v="2023-10-04T00:00:00"/>
        <d v="2024-05-31T00:00:00"/>
        <d v="2023-12-16T00:00:00"/>
        <d v="2025-05-18T00:00:00"/>
        <d v="2023-08-28T00:00:00"/>
        <d v="2023-12-19T00:00:00"/>
        <d v="2024-09-18T00:00:00"/>
        <d v="2024-12-06T00:00:00"/>
        <d v="2024-04-01T00:00:00"/>
        <d v="2024-09-07T00:00:00"/>
        <d v="2025-05-14T00:00:00"/>
        <d v="2025-03-26T00:00:00"/>
        <d v="2023-12-07T00:00:00"/>
        <d v="2024-01-18T00:00:00"/>
        <d v="2024-02-27T00:00:00"/>
        <d v="2025-02-28T00:00:00"/>
        <d v="2024-03-13T00:00:00"/>
        <d v="2024-07-17T00:00:00"/>
        <d v="2025-03-19T00:00:00"/>
        <d v="2025-01-21T00:00:00"/>
        <d v="2024-09-04T00:00:00"/>
        <d v="2023-11-01T00:00:00"/>
        <d v="2023-08-12T00:00:00"/>
        <d v="2024-02-19T00:00:00"/>
        <d v="2024-04-05T00:00:00"/>
        <d v="2024-06-18T00:00:00"/>
        <d v="2024-12-01T00:00:00"/>
        <d v="2025-02-10T00:00:00"/>
        <d v="2024-02-06T00:00:00"/>
        <d v="2023-10-25T00:00:00"/>
        <d v="2025-06-13T00:00:00"/>
        <d v="2024-01-07T00:00:00"/>
        <d v="2024-03-23T00:00:00"/>
        <d v="2025-07-01T00:00:00"/>
        <d v="2024-07-14T00:00:00"/>
        <d v="2024-07-15T00:00:00"/>
        <d v="2024-02-17T00:00:00"/>
        <d v="2023-08-25T00:00:00"/>
        <d v="2024-09-28T00:00:00"/>
        <d v="2025-05-01T00:00:00"/>
        <d v="2025-07-07T00:00:00"/>
        <d v="2025-07-05T00:00:00"/>
        <d v="2024-05-14T00:00:00"/>
        <d v="2023-12-02T00:00:00"/>
      </sharedItems>
      <fieldGroup par="11"/>
    </cacheField>
    <cacheField name="Sales Channel" numFmtId="0">
      <sharedItems containsBlank="1" count="5">
        <s v="Wholesale"/>
        <s v="Retail"/>
        <s v="Direct"/>
        <m/>
        <s v="Online"/>
      </sharedItems>
    </cacheField>
    <cacheField name="Order ID" numFmtId="0">
      <sharedItems containsBlank="1"/>
    </cacheField>
    <cacheField name="Months (Sale Date)" numFmtId="0" databaseField="0">
      <fieldGroup base="6">
        <rangePr groupBy="months" startDate="2023-07-29T00:00:00" endDate="2025-07-10T00:00:00"/>
        <groupItems count="14">
          <s v="&lt;7/29/2023"/>
          <s v="Jan"/>
          <s v="Feb"/>
          <s v="Mar"/>
          <s v="Apr"/>
          <s v="May"/>
          <s v="Jun"/>
          <s v="Jul"/>
          <s v="Aug"/>
          <s v="Sep"/>
          <s v="Oct"/>
          <s v="Nov"/>
          <s v="Dec"/>
          <s v="&gt;7/10/2025"/>
        </groupItems>
      </fieldGroup>
    </cacheField>
    <cacheField name="Quarters (Sale Date)" numFmtId="0" databaseField="0">
      <fieldGroup base="6">
        <rangePr groupBy="quarters" startDate="2023-07-29T00:00:00" endDate="2025-07-10T00:00:00"/>
        <groupItems count="6">
          <s v="&lt;7/29/2023"/>
          <s v="Qtr1"/>
          <s v="Qtr2"/>
          <s v="Qtr3"/>
          <s v="Qtr4"/>
          <s v="&gt;7/10/2025"/>
        </groupItems>
      </fieldGroup>
    </cacheField>
    <cacheField name="Years (Sale Date)" numFmtId="0" databaseField="0">
      <fieldGroup base="6">
        <rangePr groupBy="years" startDate="2023-07-29T00:00:00" endDate="2025-07-10T00:00:00"/>
        <groupItems count="5">
          <s v="&lt;7/29/2023"/>
          <s v="2023"/>
          <s v="2024"/>
          <s v="2025"/>
          <s v="&gt;7/10/2025"/>
        </groupItems>
      </fieldGroup>
    </cacheField>
  </cacheFields>
  <extLst>
    <ext xmlns:x14="http://schemas.microsoft.com/office/spreadsheetml/2009/9/main" uri="{725AE2AE-9491-48be-B2B4-4EB974FC3084}">
      <x14:pivotCacheDefinition pivotCacheId="802814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s v="Connie Lawrence"/>
    <x v="0"/>
    <x v="0"/>
    <n v="36"/>
    <n v="185141.9"/>
    <n v="6665108.4000000004"/>
    <x v="0"/>
    <x v="0"/>
    <s v="45d8a6ad-77d0-459e-8114-14f8d9df0d0e"/>
  </r>
  <r>
    <s v="Monica Herrera"/>
    <x v="1"/>
    <x v="1"/>
    <n v="3"/>
    <n v="153159.37"/>
    <n v="459478.11"/>
    <x v="1"/>
    <x v="1"/>
    <s v="317304b5-c1dd-484a-aca5-8d95915a1c30"/>
  </r>
  <r>
    <s v="Jamie Arnold"/>
    <x v="2"/>
    <x v="0"/>
    <n v="43"/>
    <n v="147209.07"/>
    <n v="6329990.0099999998"/>
    <x v="2"/>
    <x v="0"/>
    <s v="a383889a-db2c-4ac8-9c67-83932ced3c0d"/>
  </r>
  <r>
    <s v="Lisa Hensley"/>
    <x v="3"/>
    <x v="0"/>
    <n v="27"/>
    <n v="142730.32999999999"/>
    <n v="3853718.91"/>
    <x v="3"/>
    <x v="2"/>
    <m/>
  </r>
  <r>
    <s v="Brian Ramirez"/>
    <x v="4"/>
    <x v="1"/>
    <n v="28"/>
    <n v="33326.57"/>
    <n v="933143.96"/>
    <x v="4"/>
    <x v="3"/>
    <s v="ef9240b6-52d7-4f10-ba3a-6e9623ff23d3"/>
  </r>
  <r>
    <s v="Holly Wood"/>
    <x v="2"/>
    <x v="2"/>
    <n v="43"/>
    <n v="125253.81"/>
    <n v="5385913.8300000001"/>
    <x v="5"/>
    <x v="2"/>
    <s v="6231ee73-42c2-42eb-81bf-9e733f800385"/>
  </r>
  <r>
    <s v="Derek Zuniga"/>
    <x v="5"/>
    <x v="2"/>
    <n v="77"/>
    <n v="92649.51"/>
    <n v="7134012.2699999996"/>
    <x v="6"/>
    <x v="4"/>
    <s v="4459bd6e-c0f6-4229-b25d-42593c4b1eec"/>
  </r>
  <r>
    <s v="Margaret Hawkins DDS"/>
    <x v="6"/>
    <x v="2"/>
    <n v="33"/>
    <n v="261693.68"/>
    <n v="8635891.4399999995"/>
    <x v="7"/>
    <x v="1"/>
    <s v="3c7e5368-b159-4847-9c0b-9b10a757cb10"/>
  </r>
  <r>
    <s v="Ethan Adams"/>
    <x v="7"/>
    <x v="1"/>
    <n v="4"/>
    <n v="179274.43"/>
    <n v="717097.72"/>
    <x v="8"/>
    <x v="4"/>
    <s v="afa28559-67c9-4204-a8e3-33b64e8adc4b"/>
  </r>
  <r>
    <s v="Matthew Foster"/>
    <x v="2"/>
    <x v="3"/>
    <n v="42"/>
    <n v="291631.03000000003"/>
    <n v="12248503.26"/>
    <x v="9"/>
    <x v="2"/>
    <s v="f0cd7f05-ea87-455e-a382-95d31e0ef546"/>
  </r>
  <r>
    <s v="Justin Baker"/>
    <x v="6"/>
    <x v="4"/>
    <n v="7"/>
    <n v="68649.2"/>
    <n v="480544.4"/>
    <x v="10"/>
    <x v="2"/>
    <s v="3889936a-9d58-47e8-9e17-5b664b87959f"/>
  </r>
  <r>
    <s v="Zachary Hicks"/>
    <x v="8"/>
    <x v="5"/>
    <n v="68"/>
    <n v="15880.87"/>
    <n v="1079899.1599999999"/>
    <x v="11"/>
    <x v="0"/>
    <s v="fd247c11-bf6b-4cdf-b479-7b6127372b52"/>
  </r>
  <r>
    <s v="Anthony Rodriguez"/>
    <x v="9"/>
    <x v="4"/>
    <n v="96"/>
    <n v="144394.41"/>
    <n v="13861863.359999999"/>
    <x v="12"/>
    <x v="4"/>
    <s v="b3b26337-6a74-4bb7-9fa5-e0aa9b11b530"/>
  </r>
  <r>
    <s v="Debra Davidson"/>
    <x v="10"/>
    <x v="6"/>
    <n v="65"/>
    <n v="246587.56"/>
    <n v="16028191.4"/>
    <x v="13"/>
    <x v="0"/>
    <s v="87365a84-725e-434d-8687-9aa914f573d0"/>
  </r>
  <r>
    <s v="Jeffrey Chavez"/>
    <x v="0"/>
    <x v="3"/>
    <n v="79"/>
    <n v="73037.87"/>
    <n v="5769991.7300000004"/>
    <x v="14"/>
    <x v="0"/>
    <s v="ead08c89-13fe-4a29-9c9d-eee0b42a0456"/>
  </r>
  <r>
    <s v="Elizabeth Fowler"/>
    <x v="8"/>
    <x v="5"/>
    <n v="4"/>
    <n v="57639.91"/>
    <n v="230559.64"/>
    <x v="15"/>
    <x v="1"/>
    <m/>
  </r>
  <r>
    <s v="Anthony Humphrey"/>
    <x v="10"/>
    <x v="7"/>
    <n v="10"/>
    <n v="150794.94"/>
    <n v="1507949.4"/>
    <x v="16"/>
    <x v="3"/>
    <s v="6a5943ce-8364-45e3-a1c7-1aa3741423b5"/>
  </r>
  <r>
    <s v="Philip Cannon"/>
    <x v="5"/>
    <x v="4"/>
    <n v="19"/>
    <n v="141745.84"/>
    <n v="2693170.96"/>
    <x v="17"/>
    <x v="4"/>
    <s v="4ee4334e-ce92-4136-ac3a-812f765e6cb5"/>
  </r>
  <r>
    <s v="TImothy Duncan"/>
    <x v="0"/>
    <x v="7"/>
    <n v="93"/>
    <n v="138169.23000000001"/>
    <n v="12849738.390000001"/>
    <x v="18"/>
    <x v="2"/>
    <s v="eac80da1-de9f-4f5b-b2d3-545861ea2f30"/>
  </r>
  <r>
    <s v="Victoria Garcia"/>
    <x v="11"/>
    <x v="3"/>
    <n v="94"/>
    <n v="204383.39"/>
    <n v="19212038.66"/>
    <x v="19"/>
    <x v="3"/>
    <s v="2099d180-8762-4997-a49f-7d888989c5ab"/>
  </r>
  <r>
    <s v="Amber Kidd"/>
    <x v="12"/>
    <x v="4"/>
    <n v="61"/>
    <n v="287222.55"/>
    <n v="17520575.550000001"/>
    <x v="20"/>
    <x v="1"/>
    <s v="6118433b-882c-4d1e-ac93-a7918b60c511"/>
  </r>
  <r>
    <s v="Tracy House"/>
    <x v="4"/>
    <x v="0"/>
    <n v="12"/>
    <n v="84062.42"/>
    <n v="1008749.04"/>
    <x v="21"/>
    <x v="0"/>
    <s v="75eb89c2-3f5c-42f3-bacb-43a3d2c7bffb"/>
  </r>
  <r>
    <s v="Angela Lopez"/>
    <x v="1"/>
    <x v="6"/>
    <n v="93"/>
    <n v="280378.37"/>
    <n v="26075188.41"/>
    <x v="22"/>
    <x v="2"/>
    <s v="23dfecd7-0e73-4dd7-86ac-1b04dd1d6cd1"/>
  </r>
  <r>
    <s v="Kelly Donovan"/>
    <x v="10"/>
    <x v="2"/>
    <n v="65"/>
    <n v="163185.67000000001"/>
    <n v="10607068.550000001"/>
    <x v="23"/>
    <x v="1"/>
    <s v="c5c51060-9911-41e7-93d5-63ae51a3ac26"/>
  </r>
  <r>
    <s v="Michael Evans"/>
    <x v="12"/>
    <x v="2"/>
    <n v="62"/>
    <n v="118662.47"/>
    <n v="7357073.1399999997"/>
    <x v="24"/>
    <x v="3"/>
    <s v="fc568b53-24ac-4722-a052-77394d406f1b"/>
  </r>
  <r>
    <s v="Daniel Baker"/>
    <x v="3"/>
    <x v="7"/>
    <n v="74"/>
    <n v="44369.599999999999"/>
    <n v="3283350.4"/>
    <x v="25"/>
    <x v="4"/>
    <s v="adc29178-a041-4612-acd5-8759e95d2761"/>
  </r>
  <r>
    <m/>
    <x v="13"/>
    <x v="4"/>
    <n v="1"/>
    <n v="168824.4"/>
    <n v="168824.4"/>
    <x v="26"/>
    <x v="2"/>
    <s v="87ad8b26-8eaa-4841-aaa0-426df7c0d5f7"/>
  </r>
  <r>
    <s v="Jessica Smith"/>
    <x v="10"/>
    <x v="5"/>
    <n v="9"/>
    <n v="222396.85"/>
    <n v="2001571.65"/>
    <x v="27"/>
    <x v="0"/>
    <s v="5efeef4f-d8dd-4bc0-b325-3aa3ec170298"/>
  </r>
  <r>
    <s v="Sandra Aguilar"/>
    <x v="14"/>
    <x v="0"/>
    <n v="4"/>
    <n v="15704.25"/>
    <n v="62817"/>
    <x v="28"/>
    <x v="3"/>
    <s v="608e149e-44b9-4602-8d31-812e30c36756"/>
  </r>
  <r>
    <s v="Richard Henson"/>
    <x v="12"/>
    <x v="4"/>
    <n v="44"/>
    <n v="70234.55"/>
    <n v="3090320.2"/>
    <x v="29"/>
    <x v="1"/>
    <s v="abe42e7d-b96c-4163-966b-e275c2fe8954"/>
  </r>
  <r>
    <m/>
    <x v="11"/>
    <x v="6"/>
    <n v="77"/>
    <n v="204517"/>
    <n v="15747809"/>
    <x v="30"/>
    <x v="2"/>
    <s v="bdd151b0-f64a-46ec-b0a5-648eefe9b3d0"/>
  </r>
  <r>
    <s v="Evelyn Galvan"/>
    <x v="6"/>
    <x v="4"/>
    <n v="7"/>
    <n v="41671.379999999997"/>
    <n v="291699.65999999997"/>
    <x v="31"/>
    <x v="3"/>
    <s v="c11bd1c4-ffe3-4366-bf33-7a151e086f20"/>
  </r>
  <r>
    <s v="Victor Baker"/>
    <x v="2"/>
    <x v="7"/>
    <n v="56"/>
    <n v="86529.89"/>
    <n v="4845673.84"/>
    <x v="32"/>
    <x v="3"/>
    <s v="340029c3-ea11-405b-91fa-cefad6f89f7a"/>
  </r>
  <r>
    <s v="April Frost"/>
    <x v="0"/>
    <x v="5"/>
    <n v="6"/>
    <n v="195863.47"/>
    <n v="1175180.82"/>
    <x v="33"/>
    <x v="2"/>
    <s v="32399ffb-2704-4f25-8b91-b8cb6ae66582"/>
  </r>
  <r>
    <s v="Helen Jones"/>
    <x v="6"/>
    <x v="0"/>
    <n v="8"/>
    <n v="221736.61"/>
    <n v="1773892.88"/>
    <x v="34"/>
    <x v="2"/>
    <s v="8cf6e8b8-7fd2-48c3-bee8-2983d5574241"/>
  </r>
  <r>
    <s v="Michelle Evans"/>
    <x v="7"/>
    <x v="5"/>
    <n v="28"/>
    <n v="11670.82"/>
    <n v="326782.96000000002"/>
    <x v="35"/>
    <x v="4"/>
    <s v="7d1645a0-d253-4966-836b-9a0a41e02a89"/>
  </r>
  <r>
    <s v="Dustin Jordan"/>
    <x v="15"/>
    <x v="7"/>
    <n v="56"/>
    <n v="280209.82"/>
    <n v="15691749.92"/>
    <x v="36"/>
    <x v="1"/>
    <s v="2f1dc121-7d02-4c6d-8bea-75c1b86677aa"/>
  </r>
  <r>
    <s v="Jose Schultz"/>
    <x v="3"/>
    <x v="3"/>
    <n v="46"/>
    <n v="224826.46"/>
    <n v="10342017.16"/>
    <x v="37"/>
    <x v="4"/>
    <s v="2332a50e-6992-496e-81a2-5ed1c3abb5f1"/>
  </r>
  <r>
    <s v="Kathy Rivas"/>
    <x v="14"/>
    <x v="7"/>
    <n v="56"/>
    <n v="40692.879999999997"/>
    <n v="2278801.2799999998"/>
    <x v="38"/>
    <x v="4"/>
    <s v="9ea9f508-3122-4592-bdb0-2235261e2555"/>
  </r>
  <r>
    <s v="Pamela Boyd"/>
    <x v="13"/>
    <x v="0"/>
    <n v="68"/>
    <n v="242739.76"/>
    <n v="16506303.68"/>
    <x v="39"/>
    <x v="0"/>
    <s v="7580e050-67f1-498c-b594-8a545f804eeb"/>
  </r>
  <r>
    <s v="Michelle Brown"/>
    <x v="12"/>
    <x v="0"/>
    <n v="100"/>
    <n v="215720.15"/>
    <n v="21572015"/>
    <x v="40"/>
    <x v="3"/>
    <m/>
  </r>
  <r>
    <s v="Paul Castaneda"/>
    <x v="11"/>
    <x v="3"/>
    <n v="83"/>
    <n v="58351.81"/>
    <n v="4843200.2300000004"/>
    <x v="41"/>
    <x v="4"/>
    <s v="fa323f69-90db-4ad6-94ce-26bec8cce2c2"/>
  </r>
  <r>
    <s v="Jennifer Adkins"/>
    <x v="8"/>
    <x v="7"/>
    <n v="31"/>
    <n v="183480.87"/>
    <n v="5687906.9699999997"/>
    <x v="42"/>
    <x v="0"/>
    <s v="e5110961-1869-4217-b94d-8fcbdba3496f"/>
  </r>
  <r>
    <s v="Jeffrey Johnson"/>
    <x v="4"/>
    <x v="0"/>
    <n v="26"/>
    <n v="121944.37"/>
    <n v="3170553.62"/>
    <x v="43"/>
    <x v="3"/>
    <s v="b139c476-de3c-488b-a6b9-d31a361f6d90"/>
  </r>
  <r>
    <s v="Michael Powell"/>
    <x v="6"/>
    <x v="0"/>
    <n v="78"/>
    <n v="128597.12"/>
    <n v="10030575.359999999"/>
    <x v="44"/>
    <x v="3"/>
    <s v="45667c48-79ba-430a-9118-c400e336c243"/>
  </r>
  <r>
    <s v="Nicole Herring"/>
    <x v="14"/>
    <x v="0"/>
    <n v="41"/>
    <n v="80464.800000000003"/>
    <n v="3299056.8"/>
    <x v="45"/>
    <x v="1"/>
    <s v="6243bed7-54ec-4f33-8a62-4cbde582b678"/>
  </r>
  <r>
    <m/>
    <x v="5"/>
    <x v="2"/>
    <n v="65"/>
    <n v="108185.85"/>
    <n v="7032080.25"/>
    <x v="46"/>
    <x v="2"/>
    <s v="9879cf35-f471-4986-9d26-4599c4dd8df5"/>
  </r>
  <r>
    <s v="Tina Sanders"/>
    <x v="13"/>
    <x v="6"/>
    <n v="58"/>
    <n v="200501.94"/>
    <n v="11629112.52"/>
    <x v="47"/>
    <x v="4"/>
    <s v="538d6b8c-c607-41e9-b80b-2cea658e54a2"/>
  </r>
  <r>
    <s v="Ashley Barton"/>
    <x v="2"/>
    <x v="0"/>
    <n v="37"/>
    <n v="48335.19"/>
    <n v="1788402.03"/>
    <x v="48"/>
    <x v="0"/>
    <s v="3a67470c-7d98-402f-b357-41e5fe1a1ba9"/>
  </r>
  <r>
    <s v="Debra Christian"/>
    <x v="8"/>
    <x v="7"/>
    <n v="65"/>
    <n v="66644.350000000006"/>
    <n v="4331882.75"/>
    <x v="49"/>
    <x v="2"/>
    <s v="1a2bd69c-450f-49ee-82e7-9a985c238d8d"/>
  </r>
  <r>
    <s v="Allen Rosales"/>
    <x v="5"/>
    <x v="2"/>
    <n v="92"/>
    <n v="143715.48000000001"/>
    <n v="13221824.16"/>
    <x v="50"/>
    <x v="4"/>
    <s v="832f52c4-8e03-40cf-8e96-922772e76b51"/>
  </r>
  <r>
    <s v="Spencer Haynes"/>
    <x v="13"/>
    <x v="0"/>
    <n v="23"/>
    <n v="296656.96999999997"/>
    <n v="6823110.3099999996"/>
    <x v="51"/>
    <x v="4"/>
    <s v="98d00c2c-17d3-4f32-8de1-596c5a9a206a"/>
  </r>
  <r>
    <s v="Ricky Davis II"/>
    <x v="16"/>
    <x v="4"/>
    <n v="79"/>
    <n v="227326.48"/>
    <n v="17958791.920000002"/>
    <x v="52"/>
    <x v="4"/>
    <s v="fe2390f3-e7bb-4efc-8f3d-c97fe6b0da0a"/>
  </r>
  <r>
    <s v="Katherine Salas"/>
    <x v="10"/>
    <x v="7"/>
    <n v="43"/>
    <n v="34106.53"/>
    <n v="1466580.79"/>
    <x v="53"/>
    <x v="1"/>
    <s v="70b27304-545c-488d-9cb9-075ecdd7f460"/>
  </r>
  <r>
    <s v="Mark Brown"/>
    <x v="3"/>
    <x v="6"/>
    <n v="51"/>
    <n v="49778.879999999997"/>
    <n v="2538722.88"/>
    <x v="54"/>
    <x v="3"/>
    <s v="65f30779-f6ee-4cdb-ad79-a2d1506e50c7"/>
  </r>
  <r>
    <s v="Michael Bradshaw"/>
    <x v="0"/>
    <x v="4"/>
    <n v="40"/>
    <n v="169391.4"/>
    <n v="6775656"/>
    <x v="55"/>
    <x v="4"/>
    <s v="d908a121-d1a7-4a20-91b4-61e9b15da72d"/>
  </r>
  <r>
    <s v="Susan Serrano"/>
    <x v="2"/>
    <x v="0"/>
    <n v="25"/>
    <n v="201993.93"/>
    <n v="5049848.25"/>
    <x v="56"/>
    <x v="0"/>
    <s v="2775ee42-a89e-42f2-80af-bf3f3df51967"/>
  </r>
  <r>
    <s v="Christopher Parker"/>
    <x v="12"/>
    <x v="6"/>
    <n v="18"/>
    <n v="92796.78"/>
    <n v="1670342.04"/>
    <x v="57"/>
    <x v="0"/>
    <m/>
  </r>
  <r>
    <s v="Andrew Avila"/>
    <x v="11"/>
    <x v="4"/>
    <n v="21"/>
    <n v="162578.47"/>
    <n v="3414147.87"/>
    <x v="58"/>
    <x v="2"/>
    <s v="aa2960fd-a858-44df-bf8c-1097c4da2c2e"/>
  </r>
  <r>
    <s v="Brandon Bailey MD"/>
    <x v="10"/>
    <x v="2"/>
    <n v="57"/>
    <n v="295848.11"/>
    <n v="16863342.27"/>
    <x v="55"/>
    <x v="3"/>
    <s v="f780ef2f-664d-4922-a590-fd3cad6ecc57"/>
  </r>
  <r>
    <s v="Isaiah Avila"/>
    <x v="9"/>
    <x v="0"/>
    <n v="69"/>
    <n v="218922.21"/>
    <n v="15105632.49"/>
    <x v="59"/>
    <x v="0"/>
    <s v="adf75924-c5b8-486b-b68b-4f7e64215e66"/>
  </r>
  <r>
    <s v="Kathleen Moran"/>
    <x v="17"/>
    <x v="7"/>
    <n v="54"/>
    <n v="289261.24"/>
    <n v="15620106.960000001"/>
    <x v="60"/>
    <x v="0"/>
    <s v="b8d49848-702b-449f-98fd-d2b979e5c9aa"/>
  </r>
  <r>
    <s v="TImothy Romero"/>
    <x v="15"/>
    <x v="0"/>
    <n v="71"/>
    <n v="36030.629999999997"/>
    <n v="2558174.73"/>
    <x v="61"/>
    <x v="3"/>
    <s v="ccd015c1-ad59-40dd-9bff-3142a5e15b55"/>
  </r>
  <r>
    <s v="Yvonne Burns"/>
    <x v="1"/>
    <x v="5"/>
    <n v="11"/>
    <n v="38640.449999999997"/>
    <n v="425044.95"/>
    <x v="62"/>
    <x v="3"/>
    <s v="6d268b37-8f52-42d3-94bb-bcf828fea761"/>
  </r>
  <r>
    <s v="Kimberly Gibson"/>
    <x v="12"/>
    <x v="0"/>
    <n v="66"/>
    <n v="250529.07"/>
    <n v="16534918.619999999"/>
    <x v="56"/>
    <x v="3"/>
    <s v="2fb70dab-2f38-4b43-a137-f8e467b13040"/>
  </r>
  <r>
    <s v="Patrick Thornton"/>
    <x v="4"/>
    <x v="7"/>
    <n v="45"/>
    <n v="293557.96000000002"/>
    <n v="13210108.199999999"/>
    <x v="63"/>
    <x v="1"/>
    <s v="6df72cd3-979a-4051-b317-591a3283daa4"/>
  </r>
  <r>
    <s v="Jasmin Alvarado"/>
    <x v="12"/>
    <x v="7"/>
    <n v="54"/>
    <n v="139169.67000000001"/>
    <n v="7515162.1799999997"/>
    <x v="64"/>
    <x v="2"/>
    <s v="36fce0ac-b469-4db3-8123-a348638abdf6"/>
  </r>
  <r>
    <s v="Jonathan Lawrence"/>
    <x v="10"/>
    <x v="2"/>
    <n v="48"/>
    <n v="127526.34"/>
    <n v="6121264.3200000003"/>
    <x v="65"/>
    <x v="1"/>
    <s v="b4299924-c098-4750-8741-9b4834ae4abd"/>
  </r>
  <r>
    <s v="Shelly Alexander"/>
    <x v="0"/>
    <x v="4"/>
    <n v="50"/>
    <n v="114093.3"/>
    <n v="5704665"/>
    <x v="66"/>
    <x v="3"/>
    <s v="93cd1291-1004-4d82-8bc7-2f1acf08ea54"/>
  </r>
  <r>
    <s v="Joyce Bowen"/>
    <x v="13"/>
    <x v="7"/>
    <n v="48"/>
    <n v="69284.39"/>
    <n v="3325650.72"/>
    <x v="67"/>
    <x v="1"/>
    <s v="89718eea-df3a-498a-8cac-2fb51a0c6c04"/>
  </r>
  <r>
    <s v="Marie Christian"/>
    <x v="1"/>
    <x v="4"/>
    <n v="19"/>
    <n v="56949.9"/>
    <n v="1082048.1000000001"/>
    <x v="68"/>
    <x v="1"/>
    <s v="637ddcd6-98d3-448b-903b-4078a39c9ec6"/>
  </r>
  <r>
    <s v="Jessica Garcia"/>
    <x v="13"/>
    <x v="3"/>
    <n v="79"/>
    <n v="184669.5"/>
    <n v="14588890.5"/>
    <x v="69"/>
    <x v="0"/>
    <s v="ac0f6801-15b2-4e1d-9715-46339d4edb71"/>
  </r>
  <r>
    <s v="Shelia Wallace"/>
    <x v="15"/>
    <x v="4"/>
    <n v="11"/>
    <n v="280903.26"/>
    <n v="3089935.86"/>
    <x v="70"/>
    <x v="4"/>
    <s v="3d131a3d-1e2c-4e7d-902c-f0ee224a66a6"/>
  </r>
  <r>
    <s v="Stephanie Williams"/>
    <x v="17"/>
    <x v="7"/>
    <n v="33"/>
    <n v="266767.88"/>
    <n v="8803340.0399999991"/>
    <x v="71"/>
    <x v="2"/>
    <m/>
  </r>
  <r>
    <s v="Briana Murray"/>
    <x v="10"/>
    <x v="3"/>
    <n v="16"/>
    <n v="201771.08"/>
    <n v="3228337.28"/>
    <x v="72"/>
    <x v="2"/>
    <s v="2c591da8-fff9-4acf-ae42-05eea52fc3ec"/>
  </r>
  <r>
    <s v="Jeremy Reed"/>
    <x v="7"/>
    <x v="1"/>
    <n v="59"/>
    <n v="13748.9"/>
    <n v="811185.1"/>
    <x v="73"/>
    <x v="2"/>
    <s v="dd92dd7c-0db9-47a9-9e91-a71c7374ccbf"/>
  </r>
  <r>
    <s v="Amber Obrien"/>
    <x v="0"/>
    <x v="3"/>
    <n v="55"/>
    <n v="298048.28999999998"/>
    <n v="16392655.949999999"/>
    <x v="74"/>
    <x v="1"/>
    <s v="90bde900-1529-46f5-aad1-1fe87d1b695e"/>
  </r>
  <r>
    <s v="Heather Fields"/>
    <x v="3"/>
    <x v="6"/>
    <n v="54"/>
    <n v="173045.05"/>
    <n v="9344432.6999999993"/>
    <x v="75"/>
    <x v="0"/>
    <s v="c7de96ea-2b0f-4e44-89e6-4c2289a0b7eb"/>
  </r>
  <r>
    <s v="Carlos Ryan"/>
    <x v="14"/>
    <x v="7"/>
    <n v="71"/>
    <n v="262939.37"/>
    <n v="18668695.27"/>
    <x v="76"/>
    <x v="3"/>
    <s v="70fd6672-b80f-46c5-828f-a16b0aa6fcb9"/>
  </r>
  <r>
    <s v="Ashley Hall"/>
    <x v="18"/>
    <x v="7"/>
    <n v="18"/>
    <n v="166977.26999999999"/>
    <n v="3005590.86"/>
    <x v="77"/>
    <x v="4"/>
    <s v="9dbc15c0-2a7d-457c-ad9c-5b50a1fd4187"/>
  </r>
  <r>
    <s v="Brett Burns"/>
    <x v="4"/>
    <x v="7"/>
    <n v="26"/>
    <n v="55571.75"/>
    <n v="1444865.5"/>
    <x v="78"/>
    <x v="0"/>
    <s v="0f2d5c15-eb34-4d3a-a95e-5ea9c9230c64"/>
  </r>
  <r>
    <s v="Trevor Johnson"/>
    <x v="3"/>
    <x v="2"/>
    <n v="26"/>
    <n v="161609.51999999999"/>
    <n v="4201847.5199999996"/>
    <x v="79"/>
    <x v="0"/>
    <s v="a7e8d18e-ddf6-44ac-86fe-acd4fe1393cd"/>
  </r>
  <r>
    <s v="Colton Martinez"/>
    <x v="15"/>
    <x v="1"/>
    <n v="33"/>
    <n v="43733.35"/>
    <n v="1443200.55"/>
    <x v="80"/>
    <x v="1"/>
    <s v="24655c39-7d4d-4add-a488-0945ad1db537"/>
  </r>
  <r>
    <s v="Dana Martinez"/>
    <x v="1"/>
    <x v="3"/>
    <n v="46"/>
    <n v="17758.37"/>
    <n v="816885.02"/>
    <x v="81"/>
    <x v="0"/>
    <s v="c4d598f7-e14f-4093-8b6a-d0c7a2356dd4"/>
  </r>
  <r>
    <m/>
    <x v="6"/>
    <x v="6"/>
    <n v="35"/>
    <n v="125244.11"/>
    <n v="4383543.8499999996"/>
    <x v="82"/>
    <x v="2"/>
    <m/>
  </r>
  <r>
    <s v="David Thompson"/>
    <x v="17"/>
    <x v="2"/>
    <n v="44"/>
    <n v="99413.77"/>
    <n v="4374205.88"/>
    <x v="83"/>
    <x v="1"/>
    <s v="17d821b8-bb93-4d40-98df-f535c62dbaea"/>
  </r>
  <r>
    <s v="Kayla Rodriguez"/>
    <x v="5"/>
    <x v="4"/>
    <n v="55"/>
    <n v="160922.84"/>
    <n v="8850756.1999999993"/>
    <x v="84"/>
    <x v="3"/>
    <s v="52a74a41-44be-4486-bea5-a387363be5cb"/>
  </r>
  <r>
    <m/>
    <x v="0"/>
    <x v="5"/>
    <n v="14"/>
    <n v="181688.35"/>
    <n v="2543636.9"/>
    <x v="85"/>
    <x v="1"/>
    <s v="0bc2ea72-0c64-4ca2-8323-1466aebbb90e"/>
  </r>
  <r>
    <s v="Patricia Le"/>
    <x v="5"/>
    <x v="4"/>
    <n v="58"/>
    <n v="65496.45"/>
    <n v="3798794.1"/>
    <x v="86"/>
    <x v="4"/>
    <s v="4d470ed6-a666-4769-a1d4-6f8221c50e41"/>
  </r>
  <r>
    <s v="Christian Leblanc"/>
    <x v="1"/>
    <x v="6"/>
    <n v="8"/>
    <n v="272743.75"/>
    <n v="2181950"/>
    <x v="87"/>
    <x v="0"/>
    <s v="0d41ee47-2a5f-4a18-a61f-0b96e75f745a"/>
  </r>
  <r>
    <s v="Laurie Hoffman"/>
    <x v="19"/>
    <x v="7"/>
    <n v="87"/>
    <n v="222571.82"/>
    <n v="19363748.34"/>
    <x v="88"/>
    <x v="1"/>
    <m/>
  </r>
  <r>
    <s v="Bryan Gomez"/>
    <x v="3"/>
    <x v="1"/>
    <n v="4"/>
    <n v="224190.33"/>
    <n v="896761.32"/>
    <x v="89"/>
    <x v="0"/>
    <s v="13f3cade-7a10-413f-b6a2-c52b00473139"/>
  </r>
  <r>
    <s v="Tracy Burke"/>
    <x v="0"/>
    <x v="6"/>
    <n v="57"/>
    <n v="274375.17"/>
    <n v="15639384.689999999"/>
    <x v="90"/>
    <x v="2"/>
    <s v="02106371-0260-4123-b1ef-e72aae13591e"/>
  </r>
  <r>
    <s v="Kenneth Lewis"/>
    <x v="19"/>
    <x v="2"/>
    <n v="17"/>
    <n v="208840.07"/>
    <n v="3550281.19"/>
    <x v="16"/>
    <x v="2"/>
    <s v="1edf3bfa-d12e-4eb5-97f4-79b5b212a6ee"/>
  </r>
  <r>
    <s v="Ellen Morgan"/>
    <x v="6"/>
    <x v="1"/>
    <n v="98"/>
    <n v="194792.04"/>
    <n v="19089619.920000002"/>
    <x v="91"/>
    <x v="4"/>
    <s v="9033da65-87cf-43fd-9183-6c4f249204c7"/>
  </r>
  <r>
    <s v="Sergio Knight"/>
    <x v="2"/>
    <x v="3"/>
    <n v="74"/>
    <n v="92872.47"/>
    <n v="6872562.7800000003"/>
    <x v="92"/>
    <x v="2"/>
    <s v="2a038ad4-a667-4982-9c3d-e1b0022b6683"/>
  </r>
  <r>
    <s v="Paula Bradley"/>
    <x v="14"/>
    <x v="6"/>
    <n v="32"/>
    <n v="240943.58"/>
    <n v="7710194.5599999996"/>
    <x v="93"/>
    <x v="2"/>
    <s v="714011a1-afc2-4cfc-9db7-284b6965d1d1"/>
  </r>
  <r>
    <s v="Paul Wilson"/>
    <x v="10"/>
    <x v="5"/>
    <n v="72"/>
    <n v="96409.87"/>
    <n v="6941510.6399999997"/>
    <x v="94"/>
    <x v="4"/>
    <s v="ca840003-5083-4fef-adec-6bbdf69777a1"/>
  </r>
  <r>
    <s v="Chad Scott"/>
    <x v="7"/>
    <x v="7"/>
    <n v="63"/>
    <n v="222505.09"/>
    <n v="14017820.67"/>
    <x v="95"/>
    <x v="3"/>
    <s v="e03635fc-a88d-4108-98d9-94b8d90f74e9"/>
  </r>
  <r>
    <s v="Adam Burgess"/>
    <x v="19"/>
    <x v="2"/>
    <n v="16"/>
    <n v="5357.86"/>
    <n v="85725.759999999995"/>
    <x v="96"/>
    <x v="2"/>
    <s v="9b5f8f39-848b-44f0-b498-17354d38e415"/>
  </r>
  <r>
    <s v="Scott Williams"/>
    <x v="14"/>
    <x v="6"/>
    <n v="57"/>
    <n v="175417.55"/>
    <n v="9998800.3499999996"/>
    <x v="97"/>
    <x v="1"/>
    <s v="c8a738ab-0df8-4e12-a56b-61e04ba8a4ca"/>
  </r>
  <r>
    <s v="Brian Smith"/>
    <x v="10"/>
    <x v="0"/>
    <n v="91"/>
    <n v="59259.44"/>
    <n v="5392609.04"/>
    <x v="98"/>
    <x v="0"/>
    <s v="122dd7be-980b-481e-a359-5d1f7fe4a42e"/>
  </r>
  <r>
    <s v="Ashley Hicks"/>
    <x v="10"/>
    <x v="2"/>
    <n v="29"/>
    <n v="101600.5"/>
    <n v="2946414.5"/>
    <x v="99"/>
    <x v="2"/>
    <s v="0387f74d-1149-4096-965d-744f0445c1a8"/>
  </r>
  <r>
    <s v="Hannah Luna"/>
    <x v="5"/>
    <x v="2"/>
    <n v="26"/>
    <n v="229126.51"/>
    <n v="5957289.2599999998"/>
    <x v="100"/>
    <x v="0"/>
    <s v="ec2e2815-0a32-47d2-b73a-edf8431e930f"/>
  </r>
  <r>
    <s v="Joann Glass"/>
    <x v="11"/>
    <x v="7"/>
    <n v="71"/>
    <n v="219965.28"/>
    <n v="15617534.880000001"/>
    <x v="101"/>
    <x v="4"/>
    <s v="a3fa4069-1519-4d38-a6fb-a71db3a9dcaa"/>
  </r>
  <r>
    <s v="Madison Weber"/>
    <x v="13"/>
    <x v="2"/>
    <n v="79"/>
    <n v="105976.76"/>
    <n v="8372164.04"/>
    <x v="102"/>
    <x v="4"/>
    <s v="271610c1-9db5-4283-89a3-c811895c4fde"/>
  </r>
  <r>
    <s v="Angela Lin"/>
    <x v="19"/>
    <x v="6"/>
    <n v="74"/>
    <n v="297101.90000000002"/>
    <n v="21985540.600000001"/>
    <x v="103"/>
    <x v="1"/>
    <s v="6fff15cc-b2dc-4c34-8f67-448e10eceb1f"/>
  </r>
  <r>
    <s v="Julian Conner"/>
    <x v="6"/>
    <x v="0"/>
    <n v="83"/>
    <n v="157421.35"/>
    <n v="13065972.050000001"/>
    <x v="25"/>
    <x v="0"/>
    <s v="ecb4678c-1612-4aa6-be96-39ba0ed2ec9d"/>
  </r>
  <r>
    <s v="Jeffrey Mills"/>
    <x v="3"/>
    <x v="4"/>
    <n v="24"/>
    <n v="2411.96"/>
    <n v="57887.040000000001"/>
    <x v="104"/>
    <x v="4"/>
    <s v="7f14eafa-29f0-4f7c-82e7-df89b3957a98"/>
  </r>
  <r>
    <m/>
    <x v="1"/>
    <x v="7"/>
    <n v="8"/>
    <n v="189395.14"/>
    <n v="1515161.12"/>
    <x v="105"/>
    <x v="1"/>
    <s v="425e0259-b884-46d2-928f-cf68c871d7b3"/>
  </r>
  <r>
    <s v="George Harper"/>
    <x v="6"/>
    <x v="0"/>
    <n v="67"/>
    <n v="20856.400000000001"/>
    <n v="1397378.8"/>
    <x v="106"/>
    <x v="4"/>
    <s v="bff15840-207e-463f-9f32-d5d82abe1585"/>
  </r>
  <r>
    <s v="Maria Jones"/>
    <x v="2"/>
    <x v="5"/>
    <n v="39"/>
    <n v="45733.38"/>
    <n v="1783601.82"/>
    <x v="63"/>
    <x v="2"/>
    <s v="bba1aed9-44cd-4fdd-9f9b-141ec7f7bda1"/>
  </r>
  <r>
    <s v="Mary Escobar"/>
    <x v="5"/>
    <x v="7"/>
    <n v="91"/>
    <n v="137074.89000000001"/>
    <n v="12473814.99"/>
    <x v="107"/>
    <x v="1"/>
    <s v="6de8370a-ce9e-4ebd-95c3-48530783e43c"/>
  </r>
  <r>
    <s v="Gregory Ponce"/>
    <x v="19"/>
    <x v="5"/>
    <n v="37"/>
    <n v="18604.810000000001"/>
    <n v="688377.97"/>
    <x v="108"/>
    <x v="4"/>
    <s v="a0a5fde6-939f-41a2-b99c-ea5cb65ad0f1"/>
  </r>
  <r>
    <s v="Jenna Larson"/>
    <x v="6"/>
    <x v="4"/>
    <n v="33"/>
    <n v="191499.71"/>
    <n v="6319490.4299999997"/>
    <x v="109"/>
    <x v="4"/>
    <m/>
  </r>
  <r>
    <s v="Robin Santiago"/>
    <x v="17"/>
    <x v="0"/>
    <n v="36"/>
    <n v="273869.06"/>
    <n v="9859286.1600000001"/>
    <x v="110"/>
    <x v="1"/>
    <s v="dbff00b0-7fe6-40f3-8e31-41ec5c311464"/>
  </r>
  <r>
    <m/>
    <x v="18"/>
    <x v="0"/>
    <n v="83"/>
    <n v="123695.88"/>
    <n v="10266758.039999999"/>
    <x v="19"/>
    <x v="3"/>
    <s v="00a85473-8242-4912-bda3-c1623a78b64a"/>
  </r>
  <r>
    <s v="Christopher Guerra"/>
    <x v="18"/>
    <x v="3"/>
    <n v="6"/>
    <n v="150913.70000000001"/>
    <n v="905482.2"/>
    <x v="111"/>
    <x v="0"/>
    <s v="3979d5f5-6b5b-4975-a7dc-2bc0bd9c4693"/>
  </r>
  <r>
    <s v="Rhonda Martin"/>
    <x v="5"/>
    <x v="5"/>
    <n v="11"/>
    <n v="209508.79"/>
    <n v="2304596.69"/>
    <x v="112"/>
    <x v="4"/>
    <s v="ea75752d-6a8f-4acb-bf8e-2d0d52619dec"/>
  </r>
  <r>
    <s v="Brenda Wright"/>
    <x v="10"/>
    <x v="3"/>
    <n v="62"/>
    <n v="76099.25"/>
    <n v="4718153.5"/>
    <x v="113"/>
    <x v="4"/>
    <s v="74ed5145-8d97-45c7-961d-5c8753c9fe59"/>
  </r>
  <r>
    <s v="Brittany Kim"/>
    <x v="18"/>
    <x v="3"/>
    <n v="8"/>
    <n v="287809.69"/>
    <n v="2302477.52"/>
    <x v="114"/>
    <x v="1"/>
    <s v="ff6ef9ed-7e4c-429f-b8cb-ab4c97790e84"/>
  </r>
  <r>
    <s v="Alfred Galvan"/>
    <x v="4"/>
    <x v="2"/>
    <n v="78"/>
    <n v="209322.28"/>
    <n v="16327137.84"/>
    <x v="115"/>
    <x v="4"/>
    <s v="eeb19ad2-01a1-4b0f-a68b-84b63ec0a285"/>
  </r>
  <r>
    <s v="Riley Bryant"/>
    <x v="12"/>
    <x v="7"/>
    <n v="58"/>
    <n v="113462.29"/>
    <n v="6580812.8200000003"/>
    <x v="116"/>
    <x v="1"/>
    <s v="0b3d0c36-17d0-4810-87a2-a10bb62edb49"/>
  </r>
  <r>
    <s v="Taylor Carlson"/>
    <x v="18"/>
    <x v="1"/>
    <n v="19"/>
    <n v="143063.53"/>
    <n v="2718207.07"/>
    <x v="2"/>
    <x v="2"/>
    <s v="d872f72e-e5b4-41ae-bb41-c943ebd8a3b1"/>
  </r>
  <r>
    <s v="Jason Beck"/>
    <x v="17"/>
    <x v="4"/>
    <n v="54"/>
    <n v="25264.49"/>
    <n v="1364282.46"/>
    <x v="23"/>
    <x v="1"/>
    <s v="bf7655d7-f97c-4c3c-b55d-814b5f5ba255"/>
  </r>
  <r>
    <s v="Katie Mcneil"/>
    <x v="18"/>
    <x v="4"/>
    <n v="41"/>
    <n v="99715.55"/>
    <n v="4088337.55"/>
    <x v="117"/>
    <x v="1"/>
    <s v="0ff1c51f-915c-431b-9786-7b1213281726"/>
  </r>
  <r>
    <s v="Jeanette Harrison"/>
    <x v="14"/>
    <x v="6"/>
    <n v="98"/>
    <n v="293210.09999999998"/>
    <n v="28734589.800000001"/>
    <x v="118"/>
    <x v="4"/>
    <s v="21761930-f6d7-4248-a995-ecc36f5b09a6"/>
  </r>
  <r>
    <s v="Evelyn Williams"/>
    <x v="1"/>
    <x v="3"/>
    <n v="3"/>
    <n v="275786.09000000003"/>
    <n v="827358.27"/>
    <x v="106"/>
    <x v="2"/>
    <s v="3bcdf203-459e-4674-b3e7-f042516c3b0a"/>
  </r>
  <r>
    <s v="Julie Dominguez"/>
    <x v="16"/>
    <x v="4"/>
    <n v="59"/>
    <n v="270431.25"/>
    <n v="15955443.75"/>
    <x v="119"/>
    <x v="1"/>
    <s v="1be5a4c3-95af-4d0c-8528-5425c7a9f33c"/>
  </r>
  <r>
    <s v="Judith Carter"/>
    <x v="12"/>
    <x v="1"/>
    <n v="46"/>
    <n v="170251.85"/>
    <n v="7831585.0999999996"/>
    <x v="120"/>
    <x v="0"/>
    <s v="1ee89a4c-6811-44e2-9064-7c59774f6354"/>
  </r>
  <r>
    <s v="Howard Norman"/>
    <x v="10"/>
    <x v="5"/>
    <n v="69"/>
    <n v="84471.72"/>
    <n v="5828548.6799999997"/>
    <x v="121"/>
    <x v="3"/>
    <s v="4de1087b-afa1-4a55-8ebe-abaa28597b34"/>
  </r>
  <r>
    <s v="Monica Miller"/>
    <x v="2"/>
    <x v="1"/>
    <n v="47"/>
    <n v="5189.6000000000004"/>
    <n v="243911.2"/>
    <x v="122"/>
    <x v="1"/>
    <s v="4c80d33a-ad5b-43c8-8c88-0714837217e0"/>
  </r>
  <r>
    <s v="Samantha Gardner"/>
    <x v="0"/>
    <x v="2"/>
    <n v="52"/>
    <n v="62543.86"/>
    <n v="3252280.72"/>
    <x v="123"/>
    <x v="3"/>
    <s v="2c82989f-fd9c-4bb0-91f1-6485429a4a7c"/>
  </r>
  <r>
    <s v="Lawrence Harrington"/>
    <x v="0"/>
    <x v="4"/>
    <n v="16"/>
    <n v="254908.01"/>
    <n v="4078528.16"/>
    <x v="124"/>
    <x v="2"/>
    <s v="15839b99-a50a-43dc-b004-e897a15b2e18"/>
  </r>
  <r>
    <s v="Phillip Berry"/>
    <x v="15"/>
    <x v="2"/>
    <n v="97"/>
    <n v="115461.94"/>
    <n v="11199808.18"/>
    <x v="125"/>
    <x v="3"/>
    <s v="178be968-20f8-4ba2-8f2e-32967184b713"/>
  </r>
  <r>
    <s v="Mr. Justin Green III"/>
    <x v="17"/>
    <x v="7"/>
    <n v="65"/>
    <n v="206948.51"/>
    <n v="13451653.15"/>
    <x v="126"/>
    <x v="4"/>
    <s v="ec93e596-2b01-4723-8cf6-97a57603c36c"/>
  </r>
  <r>
    <s v="Zachary Mitchell"/>
    <x v="7"/>
    <x v="4"/>
    <n v="6"/>
    <n v="23989.09"/>
    <n v="143934.54"/>
    <x v="123"/>
    <x v="0"/>
    <s v="b9744cde-d259-4960-aee3-560792ea1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585C0-DF0E-4E80-A91D-BE41D2F129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4" firstHeaderRow="1" firstDataRow="1" firstDataCol="1"/>
  <pivotFields count="12">
    <pivotField showAll="0"/>
    <pivotField axis="axisRow" showAll="0" sortType="descending">
      <items count="21">
        <item x="1"/>
        <item x="8"/>
        <item x="15"/>
        <item x="10"/>
        <item x="18"/>
        <item x="16"/>
        <item x="14"/>
        <item x="7"/>
        <item x="3"/>
        <item x="5"/>
        <item x="11"/>
        <item x="12"/>
        <item x="4"/>
        <item x="2"/>
        <item x="6"/>
        <item x="19"/>
        <item x="9"/>
        <item x="13"/>
        <item x="0"/>
        <item x="17"/>
        <item t="default"/>
      </items>
      <autoSortScope>
        <pivotArea dataOnly="0" outline="0" fieldPosition="0">
          <references count="1">
            <reference field="4294967294" count="1" selected="0">
              <x v="0"/>
            </reference>
          </references>
        </pivotArea>
      </autoSortScope>
    </pivotField>
    <pivotField showAll="0">
      <items count="9">
        <item x="5"/>
        <item x="3"/>
        <item x="2"/>
        <item x="7"/>
        <item x="1"/>
        <item x="4"/>
        <item x="6"/>
        <item x="0"/>
        <item t="default"/>
      </items>
    </pivotField>
    <pivotField showAll="0"/>
    <pivotField showAll="0"/>
    <pivotField dataField="1" showAll="0"/>
    <pivotField numFmtId="14" showAll="0">
      <items count="128">
        <item x="52"/>
        <item x="105"/>
        <item x="56"/>
        <item x="120"/>
        <item x="87"/>
        <item x="15"/>
        <item x="32"/>
        <item x="27"/>
        <item x="83"/>
        <item x="59"/>
        <item x="14"/>
        <item x="43"/>
        <item x="112"/>
        <item x="40"/>
        <item x="104"/>
        <item x="29"/>
        <item x="2"/>
        <item x="70"/>
        <item x="5"/>
        <item x="20"/>
        <item x="126"/>
        <item x="95"/>
        <item x="8"/>
        <item x="85"/>
        <item x="88"/>
        <item x="34"/>
        <item x="7"/>
        <item x="24"/>
        <item x="114"/>
        <item x="9"/>
        <item x="82"/>
        <item x="96"/>
        <item x="45"/>
        <item x="33"/>
        <item x="111"/>
        <item x="119"/>
        <item x="106"/>
        <item x="97"/>
        <item x="26"/>
        <item x="22"/>
        <item x="99"/>
        <item x="69"/>
        <item x="115"/>
        <item x="75"/>
        <item x="64"/>
        <item x="72"/>
        <item x="91"/>
        <item x="42"/>
        <item x="107"/>
        <item x="11"/>
        <item x="58"/>
        <item x="71"/>
        <item x="125"/>
        <item x="57"/>
        <item x="17"/>
        <item x="47"/>
        <item x="84"/>
        <item x="38"/>
        <item x="108"/>
        <item x="67"/>
        <item x="39"/>
        <item x="54"/>
        <item x="65"/>
        <item x="117"/>
        <item x="118"/>
        <item x="16"/>
        <item x="100"/>
        <item x="10"/>
        <item x="36"/>
        <item x="51"/>
        <item x="62"/>
        <item x="73"/>
        <item x="50"/>
        <item x="68"/>
        <item x="66"/>
        <item x="78"/>
        <item x="103"/>
        <item x="92"/>
        <item x="0"/>
        <item x="13"/>
        <item x="12"/>
        <item x="89"/>
        <item x="35"/>
        <item x="121"/>
        <item x="53"/>
        <item x="61"/>
        <item x="79"/>
        <item x="4"/>
        <item x="28"/>
        <item x="37"/>
        <item x="109"/>
        <item x="90"/>
        <item x="18"/>
        <item x="3"/>
        <item x="63"/>
        <item x="30"/>
        <item x="102"/>
        <item x="110"/>
        <item x="44"/>
        <item x="49"/>
        <item x="55"/>
        <item x="21"/>
        <item x="98"/>
        <item x="77"/>
        <item x="6"/>
        <item x="101"/>
        <item x="76"/>
        <item x="94"/>
        <item x="74"/>
        <item x="81"/>
        <item x="19"/>
        <item x="80"/>
        <item x="122"/>
        <item x="1"/>
        <item x="41"/>
        <item x="46"/>
        <item x="48"/>
        <item x="93"/>
        <item x="86"/>
        <item x="25"/>
        <item x="31"/>
        <item x="113"/>
        <item x="116"/>
        <item x="124"/>
        <item x="23"/>
        <item x="123"/>
        <item x="6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21">
    <i>
      <x v="11"/>
    </i>
    <i>
      <x v="3"/>
    </i>
    <i>
      <x v="18"/>
    </i>
    <i>
      <x v="6"/>
    </i>
    <i>
      <x v="14"/>
    </i>
    <i>
      <x v="9"/>
    </i>
    <i>
      <x v="17"/>
    </i>
    <i>
      <x v="10"/>
    </i>
    <i>
      <x v="19"/>
    </i>
    <i>
      <x v="15"/>
    </i>
    <i>
      <x v="13"/>
    </i>
    <i>
      <x v="12"/>
    </i>
    <i>
      <x v="8"/>
    </i>
    <i>
      <x v="2"/>
    </i>
    <i>
      <x v="5"/>
    </i>
    <i>
      <x/>
    </i>
    <i>
      <x v="16"/>
    </i>
    <i>
      <x v="4"/>
    </i>
    <i>
      <x v="7"/>
    </i>
    <i>
      <x v="1"/>
    </i>
    <i t="grand">
      <x/>
    </i>
  </rowItems>
  <colItems count="1">
    <i/>
  </colItems>
  <dataFields count="1">
    <dataField name="Sum of Total Sal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BD1A76-091A-4081-98BF-253CEC54EB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2">
    <pivotField showAll="0"/>
    <pivotField showAll="0"/>
    <pivotField axis="axisRow" showAll="0" sortType="descending">
      <items count="9">
        <item x="5"/>
        <item x="3"/>
        <item x="2"/>
        <item x="7"/>
        <item x="1"/>
        <item x="4"/>
        <item x="6"/>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128">
        <item x="52"/>
        <item x="105"/>
        <item x="56"/>
        <item x="120"/>
        <item x="87"/>
        <item x="15"/>
        <item x="32"/>
        <item x="27"/>
        <item x="83"/>
        <item x="59"/>
        <item x="14"/>
        <item x="43"/>
        <item x="112"/>
        <item x="40"/>
        <item x="104"/>
        <item x="29"/>
        <item x="2"/>
        <item x="70"/>
        <item x="5"/>
        <item x="20"/>
        <item x="126"/>
        <item x="95"/>
        <item x="8"/>
        <item x="85"/>
        <item x="88"/>
        <item x="34"/>
        <item x="7"/>
        <item x="24"/>
        <item x="114"/>
        <item x="9"/>
        <item x="82"/>
        <item x="96"/>
        <item x="45"/>
        <item x="33"/>
        <item x="111"/>
        <item x="119"/>
        <item x="106"/>
        <item x="97"/>
        <item x="26"/>
        <item x="22"/>
        <item x="99"/>
        <item x="69"/>
        <item x="115"/>
        <item x="75"/>
        <item x="64"/>
        <item x="72"/>
        <item x="91"/>
        <item x="42"/>
        <item x="107"/>
        <item x="11"/>
        <item x="58"/>
        <item x="71"/>
        <item x="125"/>
        <item x="57"/>
        <item x="17"/>
        <item x="47"/>
        <item x="84"/>
        <item x="38"/>
        <item x="108"/>
        <item x="67"/>
        <item x="39"/>
        <item x="54"/>
        <item x="65"/>
        <item x="117"/>
        <item x="118"/>
        <item x="16"/>
        <item x="100"/>
        <item x="10"/>
        <item x="36"/>
        <item x="51"/>
        <item x="62"/>
        <item x="73"/>
        <item x="50"/>
        <item x="68"/>
        <item x="66"/>
        <item x="78"/>
        <item x="103"/>
        <item x="92"/>
        <item x="0"/>
        <item x="13"/>
        <item x="12"/>
        <item x="89"/>
        <item x="35"/>
        <item x="121"/>
        <item x="53"/>
        <item x="61"/>
        <item x="79"/>
        <item x="4"/>
        <item x="28"/>
        <item x="37"/>
        <item x="109"/>
        <item x="90"/>
        <item x="18"/>
        <item x="3"/>
        <item x="63"/>
        <item x="30"/>
        <item x="102"/>
        <item x="110"/>
        <item x="44"/>
        <item x="49"/>
        <item x="55"/>
        <item x="21"/>
        <item x="98"/>
        <item x="77"/>
        <item x="6"/>
        <item x="101"/>
        <item x="76"/>
        <item x="94"/>
        <item x="74"/>
        <item x="81"/>
        <item x="19"/>
        <item x="80"/>
        <item x="122"/>
        <item x="1"/>
        <item x="41"/>
        <item x="46"/>
        <item x="48"/>
        <item x="93"/>
        <item x="86"/>
        <item x="25"/>
        <item x="31"/>
        <item x="113"/>
        <item x="116"/>
        <item x="124"/>
        <item x="23"/>
        <item x="123"/>
        <item x="6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v="3"/>
    </i>
    <i>
      <x v="6"/>
    </i>
    <i>
      <x v="7"/>
    </i>
    <i>
      <x v="2"/>
    </i>
    <i>
      <x v="5"/>
    </i>
    <i>
      <x v="1"/>
    </i>
    <i>
      <x v="4"/>
    </i>
    <i>
      <x/>
    </i>
    <i t="grand">
      <x/>
    </i>
  </rowItems>
  <colItems count="1">
    <i/>
  </colItems>
  <dataFields count="1">
    <dataField name="Sum of Total Sal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27011C-1189-4F9F-A175-95062D02DC5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4" firstHeaderRow="1" firstDataRow="1" firstDataCol="1"/>
  <pivotFields count="12">
    <pivotField showAll="0"/>
    <pivotField showAll="0"/>
    <pivotField showAll="0"/>
    <pivotField showAll="0"/>
    <pivotField showAll="0"/>
    <pivotField dataField="1" showAll="0"/>
    <pivotField numFmtId="14" showAll="0">
      <items count="128">
        <item x="52"/>
        <item x="105"/>
        <item x="56"/>
        <item x="120"/>
        <item x="87"/>
        <item x="15"/>
        <item x="32"/>
        <item x="27"/>
        <item x="83"/>
        <item x="59"/>
        <item x="14"/>
        <item x="43"/>
        <item x="112"/>
        <item x="40"/>
        <item x="104"/>
        <item x="29"/>
        <item x="2"/>
        <item x="70"/>
        <item x="5"/>
        <item x="20"/>
        <item x="126"/>
        <item x="95"/>
        <item x="8"/>
        <item x="85"/>
        <item x="88"/>
        <item x="34"/>
        <item x="7"/>
        <item x="24"/>
        <item x="114"/>
        <item x="9"/>
        <item x="82"/>
        <item x="96"/>
        <item x="45"/>
        <item x="33"/>
        <item x="111"/>
        <item x="119"/>
        <item x="106"/>
        <item x="97"/>
        <item x="26"/>
        <item x="22"/>
        <item x="99"/>
        <item x="69"/>
        <item x="115"/>
        <item x="75"/>
        <item x="64"/>
        <item x="72"/>
        <item x="91"/>
        <item x="42"/>
        <item x="107"/>
        <item x="11"/>
        <item x="58"/>
        <item x="71"/>
        <item x="125"/>
        <item x="57"/>
        <item x="17"/>
        <item x="47"/>
        <item x="84"/>
        <item x="38"/>
        <item x="108"/>
        <item x="67"/>
        <item x="39"/>
        <item x="54"/>
        <item x="65"/>
        <item x="117"/>
        <item x="118"/>
        <item x="16"/>
        <item x="100"/>
        <item x="10"/>
        <item x="36"/>
        <item x="51"/>
        <item x="62"/>
        <item x="73"/>
        <item x="50"/>
        <item x="68"/>
        <item x="66"/>
        <item x="78"/>
        <item x="103"/>
        <item x="92"/>
        <item x="0"/>
        <item x="13"/>
        <item x="12"/>
        <item x="89"/>
        <item x="35"/>
        <item x="121"/>
        <item x="53"/>
        <item x="61"/>
        <item x="79"/>
        <item x="4"/>
        <item x="28"/>
        <item x="37"/>
        <item x="109"/>
        <item x="90"/>
        <item x="18"/>
        <item x="3"/>
        <item x="63"/>
        <item x="30"/>
        <item x="102"/>
        <item x="110"/>
        <item x="44"/>
        <item x="49"/>
        <item x="55"/>
        <item x="21"/>
        <item x="98"/>
        <item x="77"/>
        <item x="6"/>
        <item x="101"/>
        <item x="76"/>
        <item x="94"/>
        <item x="74"/>
        <item x="81"/>
        <item x="19"/>
        <item x="80"/>
        <item x="122"/>
        <item x="1"/>
        <item x="41"/>
        <item x="46"/>
        <item x="48"/>
        <item x="93"/>
        <item x="86"/>
        <item x="25"/>
        <item x="31"/>
        <item x="113"/>
        <item x="116"/>
        <item x="124"/>
        <item x="23"/>
        <item x="123"/>
        <item x="6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9"/>
    <field x="11"/>
    <field x="10"/>
  </rowFields>
  <rowItems count="13">
    <i>
      <x v="1"/>
    </i>
    <i>
      <x v="2"/>
    </i>
    <i>
      <x v="3"/>
    </i>
    <i>
      <x v="4"/>
    </i>
    <i>
      <x v="5"/>
    </i>
    <i>
      <x v="6"/>
    </i>
    <i>
      <x v="7"/>
    </i>
    <i>
      <x v="8"/>
    </i>
    <i>
      <x v="9"/>
    </i>
    <i>
      <x v="10"/>
    </i>
    <i>
      <x v="11"/>
    </i>
    <i>
      <x v="12"/>
    </i>
    <i t="grand">
      <x/>
    </i>
  </rowItems>
  <colItems count="1">
    <i/>
  </colItems>
  <dataFields count="1">
    <dataField name="Sum of Total Sal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92EBB3-9466-48B4-92F4-C5894E3660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pivotField showAll="0"/>
    <pivotField showAll="0"/>
    <pivotField showAll="0"/>
    <pivotField showAll="0"/>
    <pivotField dataField="1" showAll="0"/>
    <pivotField numFmtId="14" showAll="0">
      <items count="128">
        <item x="52"/>
        <item x="105"/>
        <item x="56"/>
        <item x="120"/>
        <item x="87"/>
        <item x="15"/>
        <item x="32"/>
        <item x="27"/>
        <item x="83"/>
        <item x="59"/>
        <item x="14"/>
        <item x="43"/>
        <item x="112"/>
        <item x="40"/>
        <item x="104"/>
        <item x="29"/>
        <item x="2"/>
        <item x="70"/>
        <item x="5"/>
        <item x="20"/>
        <item x="126"/>
        <item x="95"/>
        <item x="8"/>
        <item x="85"/>
        <item x="88"/>
        <item x="34"/>
        <item x="7"/>
        <item x="24"/>
        <item x="114"/>
        <item x="9"/>
        <item x="82"/>
        <item x="96"/>
        <item x="45"/>
        <item x="33"/>
        <item x="111"/>
        <item x="119"/>
        <item x="106"/>
        <item x="97"/>
        <item x="26"/>
        <item x="22"/>
        <item x="99"/>
        <item x="69"/>
        <item x="115"/>
        <item x="75"/>
        <item x="64"/>
        <item x="72"/>
        <item x="91"/>
        <item x="42"/>
        <item x="107"/>
        <item x="11"/>
        <item x="58"/>
        <item x="71"/>
        <item x="125"/>
        <item x="57"/>
        <item x="17"/>
        <item x="47"/>
        <item x="84"/>
        <item x="38"/>
        <item x="108"/>
        <item x="67"/>
        <item x="39"/>
        <item x="54"/>
        <item x="65"/>
        <item x="117"/>
        <item x="118"/>
        <item x="16"/>
        <item x="100"/>
        <item x="10"/>
        <item x="36"/>
        <item x="51"/>
        <item x="62"/>
        <item x="73"/>
        <item x="50"/>
        <item x="68"/>
        <item x="66"/>
        <item x="78"/>
        <item x="103"/>
        <item x="92"/>
        <item x="0"/>
        <item x="13"/>
        <item x="12"/>
        <item x="89"/>
        <item x="35"/>
        <item x="121"/>
        <item x="53"/>
        <item x="61"/>
        <item x="79"/>
        <item x="4"/>
        <item x="28"/>
        <item x="37"/>
        <item x="109"/>
        <item x="90"/>
        <item x="18"/>
        <item x="3"/>
        <item x="63"/>
        <item x="30"/>
        <item x="102"/>
        <item x="110"/>
        <item x="44"/>
        <item x="49"/>
        <item x="55"/>
        <item x="21"/>
        <item x="98"/>
        <item x="77"/>
        <item x="6"/>
        <item x="101"/>
        <item x="76"/>
        <item x="94"/>
        <item x="74"/>
        <item x="81"/>
        <item x="19"/>
        <item x="80"/>
        <item x="122"/>
        <item x="1"/>
        <item x="41"/>
        <item x="46"/>
        <item x="48"/>
        <item x="93"/>
        <item x="86"/>
        <item x="25"/>
        <item x="31"/>
        <item x="113"/>
        <item x="116"/>
        <item x="124"/>
        <item x="23"/>
        <item x="123"/>
        <item x="60"/>
        <item t="default"/>
      </items>
    </pivotField>
    <pivotField axis="axisRow" showAll="0">
      <items count="6">
        <item x="2"/>
        <item x="4"/>
        <item x="1"/>
        <item x="0"/>
        <item h="1" x="3"/>
        <item t="default"/>
      </items>
    </pivotField>
    <pivotField showAll="0"/>
    <pivotField showAll="0" defaultSubtotal="0"/>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Total Sale" fld="5" baseField="0" baseItem="0"/>
  </dataFields>
  <chartFormats count="11">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7" count="1" selected="0">
            <x v="0"/>
          </reference>
        </references>
      </pivotArea>
    </chartFormat>
    <chartFormat chart="5" format="9">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2">
          <reference field="4294967294" count="1" selected="0">
            <x v="0"/>
          </reference>
          <reference field="7" count="1" selected="0">
            <x v="2"/>
          </reference>
        </references>
      </pivotArea>
    </chartFormat>
    <chartFormat chart="5" format="11">
      <pivotArea type="data" outline="0" fieldPosition="0">
        <references count="2">
          <reference field="4294967294" count="1" selected="0">
            <x v="0"/>
          </reference>
          <reference field="7" count="1" selected="0">
            <x v="3"/>
          </reference>
        </references>
      </pivotArea>
    </chartFormat>
    <chartFormat chart="5" format="12">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8E34AE2-8C04-4BB7-BE05-0B525340E4C0}" sourceName="State">
  <pivotTables>
    <pivotTable tabId="4" name="PivotTable3"/>
  </pivotTables>
  <data>
    <tabular pivotCacheId="802814152">
      <items count="20">
        <i x="1" s="1"/>
        <i x="8" s="1"/>
        <i x="15" s="1"/>
        <i x="10" s="1"/>
        <i x="18" s="1"/>
        <i x="16" s="1"/>
        <i x="14" s="1"/>
        <i x="7" s="1"/>
        <i x="3" s="1"/>
        <i x="5" s="1"/>
        <i x="11" s="1"/>
        <i x="12" s="1"/>
        <i x="4" s="1"/>
        <i x="2" s="1"/>
        <i x="6" s="1"/>
        <i x="19" s="1"/>
        <i x="9" s="1"/>
        <i x="13" s="1"/>
        <i x="0"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DE89C39-B1C3-42E8-8A6A-1A584610773D}" sourceName="Product">
  <pivotTables>
    <pivotTable tabId="4" name="PivotTable3"/>
  </pivotTables>
  <data>
    <tabular pivotCacheId="802814152">
      <items count="8">
        <i x="5" s="1"/>
        <i x="3" s="1"/>
        <i x="2" s="1"/>
        <i x="7" s="1"/>
        <i x="1" s="1"/>
        <i x="4"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D2DB2D9-36B2-4C37-84FD-3310ADF5F058}" cache="Slicer_State" caption="State" startItem="8" rowHeight="241300"/>
  <slicer name="Product" xr10:uid="{FF92717E-CBEF-48F4-9358-25A412AD534B}"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1B6D-9816-41C1-BB7E-6E63B06ABB6A}">
  <dimension ref="A1"/>
  <sheetViews>
    <sheetView tabSelected="1" topLeftCell="G39" zoomScale="95" zoomScaleNormal="50" workbookViewId="0">
      <selection activeCell="U12" sqref="U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0D7B-72B1-4CD6-A5E9-58C873BF054E}">
  <dimension ref="A3:B24"/>
  <sheetViews>
    <sheetView workbookViewId="0">
      <selection activeCell="B4" sqref="B4"/>
    </sheetView>
  </sheetViews>
  <sheetFormatPr defaultRowHeight="14.5" x14ac:dyDescent="0.35"/>
  <cols>
    <col min="1" max="1" width="12.36328125" bestFit="1" customWidth="1"/>
    <col min="2" max="2" width="15.26953125" bestFit="1" customWidth="1"/>
  </cols>
  <sheetData>
    <row r="3" spans="1:2" x14ac:dyDescent="0.35">
      <c r="A3" s="2" t="s">
        <v>304</v>
      </c>
      <c r="B3" t="s">
        <v>306</v>
      </c>
    </row>
    <row r="4" spans="1:2" x14ac:dyDescent="0.35">
      <c r="A4" s="3" t="s">
        <v>23</v>
      </c>
      <c r="B4">
        <v>89672804.649999976</v>
      </c>
    </row>
    <row r="5" spans="1:2" x14ac:dyDescent="0.35">
      <c r="A5" s="3" t="s">
        <v>62</v>
      </c>
      <c r="B5">
        <v>83651542.020000011</v>
      </c>
    </row>
    <row r="6" spans="1:2" x14ac:dyDescent="0.35">
      <c r="A6" s="3" t="s">
        <v>20</v>
      </c>
      <c r="B6">
        <v>80846826.760000005</v>
      </c>
    </row>
    <row r="7" spans="1:2" x14ac:dyDescent="0.35">
      <c r="A7" s="3" t="s">
        <v>14</v>
      </c>
      <c r="B7">
        <v>70752955.060000002</v>
      </c>
    </row>
    <row r="8" spans="1:2" x14ac:dyDescent="0.35">
      <c r="A8" s="3" t="s">
        <v>24</v>
      </c>
      <c r="B8">
        <v>65468608.789999999</v>
      </c>
    </row>
    <row r="9" spans="1:2" x14ac:dyDescent="0.35">
      <c r="A9" s="3" t="s">
        <v>22</v>
      </c>
      <c r="B9">
        <v>63466338.880000003</v>
      </c>
    </row>
    <row r="10" spans="1:2" x14ac:dyDescent="0.35">
      <c r="A10" s="3" t="s">
        <v>49</v>
      </c>
      <c r="B10">
        <v>61414056.170000002</v>
      </c>
    </row>
    <row r="11" spans="1:2" x14ac:dyDescent="0.35">
      <c r="A11" s="3" t="s">
        <v>52</v>
      </c>
      <c r="B11">
        <v>58834730.640000001</v>
      </c>
    </row>
    <row r="12" spans="1:2" x14ac:dyDescent="0.35">
      <c r="A12" s="3" t="s">
        <v>55</v>
      </c>
      <c r="B12">
        <v>53472874.649999999</v>
      </c>
    </row>
    <row r="13" spans="1:2" x14ac:dyDescent="0.35">
      <c r="A13" s="3" t="s">
        <v>66</v>
      </c>
      <c r="B13">
        <v>45673673.859999999</v>
      </c>
    </row>
    <row r="14" spans="1:2" x14ac:dyDescent="0.35">
      <c r="A14" s="3" t="s">
        <v>9</v>
      </c>
      <c r="B14">
        <v>44548407.020000003</v>
      </c>
    </row>
    <row r="15" spans="1:2" x14ac:dyDescent="0.35">
      <c r="A15" s="3" t="s">
        <v>37</v>
      </c>
      <c r="B15">
        <v>36094558.159999996</v>
      </c>
    </row>
    <row r="16" spans="1:2" x14ac:dyDescent="0.35">
      <c r="A16" s="3" t="s">
        <v>33</v>
      </c>
      <c r="B16">
        <v>34518737.929999992</v>
      </c>
    </row>
    <row r="17" spans="1:2" x14ac:dyDescent="0.35">
      <c r="A17" s="3" t="s">
        <v>35</v>
      </c>
      <c r="B17">
        <v>33982869.239999995</v>
      </c>
    </row>
    <row r="18" spans="1:2" x14ac:dyDescent="0.35">
      <c r="A18" s="3" t="s">
        <v>90</v>
      </c>
      <c r="B18">
        <v>33914235.670000002</v>
      </c>
    </row>
    <row r="19" spans="1:2" x14ac:dyDescent="0.35">
      <c r="A19" s="3" t="s">
        <v>26</v>
      </c>
      <c r="B19">
        <v>33383113.98</v>
      </c>
    </row>
    <row r="20" spans="1:2" x14ac:dyDescent="0.35">
      <c r="A20" s="3" t="s">
        <v>16</v>
      </c>
      <c r="B20">
        <v>28967495.850000001</v>
      </c>
    </row>
    <row r="21" spans="1:2" x14ac:dyDescent="0.35">
      <c r="A21" s="3" t="s">
        <v>72</v>
      </c>
      <c r="B21">
        <v>23286853.239999998</v>
      </c>
    </row>
    <row r="22" spans="1:2" x14ac:dyDescent="0.35">
      <c r="A22" s="3" t="s">
        <v>47</v>
      </c>
      <c r="B22">
        <v>16016820.989999998</v>
      </c>
    </row>
    <row r="23" spans="1:2" x14ac:dyDescent="0.35">
      <c r="A23" s="3" t="s">
        <v>12</v>
      </c>
      <c r="B23">
        <v>11330248.52</v>
      </c>
    </row>
    <row r="24" spans="1:2" x14ac:dyDescent="0.35">
      <c r="A24" s="3" t="s">
        <v>305</v>
      </c>
      <c r="B24">
        <v>969297752.0799998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F888-69C0-41CD-9044-650C0A51ACDC}">
  <dimension ref="A3:B12"/>
  <sheetViews>
    <sheetView workbookViewId="0">
      <selection activeCell="D17" sqref="D17"/>
    </sheetView>
  </sheetViews>
  <sheetFormatPr defaultRowHeight="14.5" x14ac:dyDescent="0.35"/>
  <cols>
    <col min="1" max="1" width="12.36328125" bestFit="1" customWidth="1"/>
    <col min="2" max="2" width="15.26953125" bestFit="1" customWidth="1"/>
  </cols>
  <sheetData>
    <row r="3" spans="1:2" x14ac:dyDescent="0.35">
      <c r="A3" s="2" t="s">
        <v>304</v>
      </c>
      <c r="B3" t="s">
        <v>306</v>
      </c>
    </row>
    <row r="4" spans="1:2" x14ac:dyDescent="0.35">
      <c r="A4" s="3" t="s">
        <v>13</v>
      </c>
      <c r="B4">
        <v>206557699.44</v>
      </c>
    </row>
    <row r="5" spans="1:2" x14ac:dyDescent="0.35">
      <c r="A5" s="3" t="s">
        <v>56</v>
      </c>
      <c r="B5">
        <v>173667802.80000001</v>
      </c>
    </row>
    <row r="6" spans="1:2" x14ac:dyDescent="0.35">
      <c r="A6" s="3" t="s">
        <v>15</v>
      </c>
      <c r="B6">
        <v>162114871.22000003</v>
      </c>
    </row>
    <row r="7" spans="1:2" x14ac:dyDescent="0.35">
      <c r="A7" s="3" t="s">
        <v>10</v>
      </c>
      <c r="B7">
        <v>142625625.12</v>
      </c>
    </row>
    <row r="8" spans="1:2" x14ac:dyDescent="0.35">
      <c r="A8" s="3" t="s">
        <v>43</v>
      </c>
      <c r="B8">
        <v>120789697.50999998</v>
      </c>
    </row>
    <row r="9" spans="1:2" x14ac:dyDescent="0.35">
      <c r="A9" s="3" t="s">
        <v>34</v>
      </c>
      <c r="B9">
        <v>103068554.06</v>
      </c>
    </row>
    <row r="10" spans="1:2" x14ac:dyDescent="0.35">
      <c r="A10" s="3" t="s">
        <v>27</v>
      </c>
      <c r="B10">
        <v>35144190.050000004</v>
      </c>
    </row>
    <row r="11" spans="1:2" x14ac:dyDescent="0.35">
      <c r="A11" s="3" t="s">
        <v>17</v>
      </c>
      <c r="B11">
        <v>25329311.879999999</v>
      </c>
    </row>
    <row r="12" spans="1:2" x14ac:dyDescent="0.35">
      <c r="A12" s="3" t="s">
        <v>305</v>
      </c>
      <c r="B12">
        <v>969297752.07999992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CD8D-5E67-4225-84DC-A0F6AC6D073E}">
  <dimension ref="A1:B14"/>
  <sheetViews>
    <sheetView workbookViewId="0">
      <selection activeCell="B3" sqref="B3"/>
    </sheetView>
  </sheetViews>
  <sheetFormatPr defaultRowHeight="14.5" x14ac:dyDescent="0.35"/>
  <cols>
    <col min="1" max="1" width="12.36328125" bestFit="1" customWidth="1"/>
    <col min="2" max="2" width="15.26953125" bestFit="1" customWidth="1"/>
  </cols>
  <sheetData>
    <row r="1" spans="1:2" x14ac:dyDescent="0.35">
      <c r="A1" s="2" t="s">
        <v>304</v>
      </c>
      <c r="B1" t="s">
        <v>306</v>
      </c>
    </row>
    <row r="2" spans="1:2" x14ac:dyDescent="0.35">
      <c r="A2" s="3" t="s">
        <v>307</v>
      </c>
      <c r="B2">
        <v>81279673.739999995</v>
      </c>
    </row>
    <row r="3" spans="1:2" x14ac:dyDescent="0.35">
      <c r="A3" s="3" t="s">
        <v>308</v>
      </c>
      <c r="B3">
        <v>84521744.809999987</v>
      </c>
    </row>
    <row r="4" spans="1:2" x14ac:dyDescent="0.35">
      <c r="A4" s="3" t="s">
        <v>309</v>
      </c>
      <c r="B4">
        <v>131561731.72999999</v>
      </c>
    </row>
    <row r="5" spans="1:2" x14ac:dyDescent="0.35">
      <c r="A5" s="3" t="s">
        <v>310</v>
      </c>
      <c r="B5">
        <v>86462779.25999999</v>
      </c>
    </row>
    <row r="6" spans="1:2" x14ac:dyDescent="0.35">
      <c r="A6" s="3" t="s">
        <v>311</v>
      </c>
      <c r="B6">
        <v>74136738.290000007</v>
      </c>
    </row>
    <row r="7" spans="1:2" x14ac:dyDescent="0.35">
      <c r="A7" s="3" t="s">
        <v>312</v>
      </c>
      <c r="B7">
        <v>27652005.579999998</v>
      </c>
    </row>
    <row r="8" spans="1:2" x14ac:dyDescent="0.35">
      <c r="A8" s="3" t="s">
        <v>313</v>
      </c>
      <c r="B8">
        <v>144782838.53</v>
      </c>
    </row>
    <row r="9" spans="1:2" x14ac:dyDescent="0.35">
      <c r="A9" s="3" t="s">
        <v>314</v>
      </c>
      <c r="B9">
        <v>62856765.850000001</v>
      </c>
    </row>
    <row r="10" spans="1:2" x14ac:dyDescent="0.35">
      <c r="A10" s="3" t="s">
        <v>315</v>
      </c>
      <c r="B10">
        <v>79312604.99000001</v>
      </c>
    </row>
    <row r="11" spans="1:2" x14ac:dyDescent="0.35">
      <c r="A11" s="3" t="s">
        <v>316</v>
      </c>
      <c r="B11">
        <v>56321750.93</v>
      </c>
    </row>
    <row r="12" spans="1:2" x14ac:dyDescent="0.35">
      <c r="A12" s="3" t="s">
        <v>317</v>
      </c>
      <c r="B12">
        <v>53732655.200000003</v>
      </c>
    </row>
    <row r="13" spans="1:2" x14ac:dyDescent="0.35">
      <c r="A13" s="3" t="s">
        <v>318</v>
      </c>
      <c r="B13">
        <v>86676463.170000017</v>
      </c>
    </row>
    <row r="14" spans="1:2" x14ac:dyDescent="0.35">
      <c r="A14" s="3" t="s">
        <v>305</v>
      </c>
      <c r="B14">
        <v>969297752.07999992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426F-8835-4B11-9F94-AABF5ED8C95A}">
  <dimension ref="A3:B8"/>
  <sheetViews>
    <sheetView workbookViewId="0">
      <selection activeCell="C22" sqref="C22"/>
    </sheetView>
  </sheetViews>
  <sheetFormatPr defaultRowHeight="14.5" x14ac:dyDescent="0.35"/>
  <cols>
    <col min="1" max="1" width="12.36328125" bestFit="1" customWidth="1"/>
    <col min="2" max="2" width="15.26953125" bestFit="1" customWidth="1"/>
  </cols>
  <sheetData>
    <row r="3" spans="1:2" x14ac:dyDescent="0.35">
      <c r="A3" s="2" t="s">
        <v>304</v>
      </c>
      <c r="B3" t="s">
        <v>306</v>
      </c>
    </row>
    <row r="4" spans="1:2" x14ac:dyDescent="0.35">
      <c r="A4" s="3" t="s">
        <v>18</v>
      </c>
      <c r="B4">
        <v>165491252.41999993</v>
      </c>
    </row>
    <row r="5" spans="1:2" x14ac:dyDescent="0.35">
      <c r="A5" s="3" t="s">
        <v>8</v>
      </c>
      <c r="B5">
        <v>235803206.77000001</v>
      </c>
    </row>
    <row r="6" spans="1:2" x14ac:dyDescent="0.35">
      <c r="A6" s="3" t="s">
        <v>28</v>
      </c>
      <c r="B6">
        <v>215225668.47999999</v>
      </c>
    </row>
    <row r="7" spans="1:2" x14ac:dyDescent="0.35">
      <c r="A7" s="3" t="s">
        <v>11</v>
      </c>
      <c r="B7">
        <v>167084548.56</v>
      </c>
    </row>
    <row r="8" spans="1:2" x14ac:dyDescent="0.35">
      <c r="A8" s="3" t="s">
        <v>305</v>
      </c>
      <c r="B8">
        <v>783604676.23000002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9838-1008-4F92-B092-5F32A38786DE}">
  <dimension ref="A1:I138"/>
  <sheetViews>
    <sheetView zoomScaleNormal="100" workbookViewId="0">
      <selection activeCell="A8" sqref="A8"/>
    </sheetView>
  </sheetViews>
  <sheetFormatPr defaultRowHeight="14.5" x14ac:dyDescent="0.35"/>
  <cols>
    <col min="1" max="1" width="20.08984375" bestFit="1" customWidth="1"/>
    <col min="2" max="2" width="10" bestFit="1" customWidth="1"/>
    <col min="3" max="3" width="10.90625" customWidth="1"/>
    <col min="4" max="4" width="9.08984375" bestFit="1" customWidth="1"/>
    <col min="5" max="5" width="9.81640625" bestFit="1" customWidth="1"/>
    <col min="6" max="6" width="11.81640625" bestFit="1" customWidth="1"/>
    <col min="7" max="7" width="10.453125" bestFit="1" customWidth="1"/>
    <col min="8" max="8" width="12.26953125" bestFit="1" customWidth="1"/>
    <col min="9" max="9" width="36.81640625" bestFit="1" customWidth="1"/>
    <col min="10" max="10" width="12.36328125" bestFit="1" customWidth="1"/>
    <col min="11" max="11" width="15.26953125" bestFit="1" customWidth="1"/>
  </cols>
  <sheetData>
    <row r="1" spans="1:9" x14ac:dyDescent="0.35">
      <c r="A1" t="s">
        <v>319</v>
      </c>
      <c r="B1" t="s">
        <v>0</v>
      </c>
      <c r="C1" t="s">
        <v>1</v>
      </c>
      <c r="D1" t="s">
        <v>2</v>
      </c>
      <c r="E1" t="s">
        <v>3</v>
      </c>
      <c r="F1" t="s">
        <v>4</v>
      </c>
      <c r="G1" t="s">
        <v>5</v>
      </c>
      <c r="H1" t="s">
        <v>6</v>
      </c>
      <c r="I1" t="s">
        <v>7</v>
      </c>
    </row>
    <row r="2" spans="1:9" x14ac:dyDescent="0.35">
      <c r="A2" t="s">
        <v>19</v>
      </c>
      <c r="B2" t="s">
        <v>20</v>
      </c>
      <c r="C2" t="s">
        <v>15</v>
      </c>
      <c r="D2">
        <v>36</v>
      </c>
      <c r="E2">
        <v>185141.9</v>
      </c>
      <c r="F2">
        <v>6665108.4000000004</v>
      </c>
      <c r="G2" s="1">
        <v>45545</v>
      </c>
      <c r="H2" t="s">
        <v>11</v>
      </c>
      <c r="I2" t="s">
        <v>21</v>
      </c>
    </row>
    <row r="3" spans="1:9" x14ac:dyDescent="0.35">
      <c r="A3" t="s">
        <v>25</v>
      </c>
      <c r="B3" t="s">
        <v>26</v>
      </c>
      <c r="C3" t="s">
        <v>27</v>
      </c>
      <c r="D3">
        <v>3</v>
      </c>
      <c r="E3">
        <v>153159.37</v>
      </c>
      <c r="F3">
        <v>459478.11</v>
      </c>
      <c r="G3" s="1">
        <v>45779</v>
      </c>
      <c r="H3" t="s">
        <v>28</v>
      </c>
      <c r="I3" t="s">
        <v>29</v>
      </c>
    </row>
    <row r="4" spans="1:9" x14ac:dyDescent="0.35">
      <c r="A4" t="s">
        <v>30</v>
      </c>
      <c r="B4" t="s">
        <v>9</v>
      </c>
      <c r="C4" t="s">
        <v>15</v>
      </c>
      <c r="D4">
        <v>43</v>
      </c>
      <c r="E4">
        <v>147209.07</v>
      </c>
      <c r="F4">
        <v>6329990.0099999998</v>
      </c>
      <c r="G4" s="1">
        <v>45240</v>
      </c>
      <c r="H4" t="s">
        <v>11</v>
      </c>
      <c r="I4" t="s">
        <v>31</v>
      </c>
    </row>
    <row r="5" spans="1:9" x14ac:dyDescent="0.35">
      <c r="A5" t="s">
        <v>32</v>
      </c>
      <c r="B5" t="s">
        <v>33</v>
      </c>
      <c r="C5" t="s">
        <v>15</v>
      </c>
      <c r="D5">
        <v>27</v>
      </c>
      <c r="E5">
        <v>142730.32999999999</v>
      </c>
      <c r="F5">
        <v>3853718.91</v>
      </c>
      <c r="G5" s="1">
        <v>45669</v>
      </c>
      <c r="H5" t="s">
        <v>18</v>
      </c>
    </row>
    <row r="6" spans="1:9" x14ac:dyDescent="0.35">
      <c r="A6" t="s">
        <v>36</v>
      </c>
      <c r="B6" t="s">
        <v>37</v>
      </c>
      <c r="C6" t="s">
        <v>27</v>
      </c>
      <c r="D6">
        <v>28</v>
      </c>
      <c r="E6">
        <v>33326.57</v>
      </c>
      <c r="F6">
        <v>933143.96</v>
      </c>
      <c r="G6" s="1">
        <v>45613</v>
      </c>
      <c r="I6" t="s">
        <v>38</v>
      </c>
    </row>
    <row r="7" spans="1:9" x14ac:dyDescent="0.35">
      <c r="A7" t="s">
        <v>39</v>
      </c>
      <c r="B7" t="s">
        <v>9</v>
      </c>
      <c r="C7" t="s">
        <v>10</v>
      </c>
      <c r="D7">
        <v>43</v>
      </c>
      <c r="E7">
        <v>125253.81</v>
      </c>
      <c r="F7">
        <v>5385913.8300000001</v>
      </c>
      <c r="G7" s="1">
        <v>45253</v>
      </c>
      <c r="H7" t="s">
        <v>18</v>
      </c>
      <c r="I7" t="s">
        <v>40</v>
      </c>
    </row>
    <row r="8" spans="1:9" x14ac:dyDescent="0.35">
      <c r="A8" t="s">
        <v>41</v>
      </c>
      <c r="B8" t="s">
        <v>22</v>
      </c>
      <c r="C8" t="s">
        <v>10</v>
      </c>
      <c r="D8">
        <v>77</v>
      </c>
      <c r="E8">
        <v>92649.51</v>
      </c>
      <c r="F8">
        <v>7134012.2699999996</v>
      </c>
      <c r="G8" s="1">
        <v>45734</v>
      </c>
      <c r="H8" t="s">
        <v>8</v>
      </c>
      <c r="I8" t="s">
        <v>42</v>
      </c>
    </row>
    <row r="9" spans="1:9" x14ac:dyDescent="0.35">
      <c r="A9" t="s">
        <v>44</v>
      </c>
      <c r="B9" t="s">
        <v>24</v>
      </c>
      <c r="C9" t="s">
        <v>10</v>
      </c>
      <c r="D9">
        <v>33</v>
      </c>
      <c r="E9">
        <v>261693.68</v>
      </c>
      <c r="F9">
        <v>8635891.4399999995</v>
      </c>
      <c r="G9" s="1">
        <v>45292</v>
      </c>
      <c r="H9" t="s">
        <v>28</v>
      </c>
      <c r="I9" t="s">
        <v>45</v>
      </c>
    </row>
    <row r="10" spans="1:9" x14ac:dyDescent="0.35">
      <c r="A10" t="s">
        <v>46</v>
      </c>
      <c r="B10" t="s">
        <v>47</v>
      </c>
      <c r="C10" t="s">
        <v>27</v>
      </c>
      <c r="D10">
        <v>4</v>
      </c>
      <c r="E10">
        <v>179274.43</v>
      </c>
      <c r="F10">
        <v>717097.72</v>
      </c>
      <c r="G10" s="1">
        <v>45274</v>
      </c>
      <c r="H10" t="s">
        <v>8</v>
      </c>
      <c r="I10" t="s">
        <v>48</v>
      </c>
    </row>
    <row r="11" spans="1:9" x14ac:dyDescent="0.35">
      <c r="A11" t="s">
        <v>50</v>
      </c>
      <c r="B11" t="s">
        <v>9</v>
      </c>
      <c r="C11" t="s">
        <v>34</v>
      </c>
      <c r="D11">
        <v>42</v>
      </c>
      <c r="E11">
        <v>291631.03000000003</v>
      </c>
      <c r="F11">
        <v>12248503.26</v>
      </c>
      <c r="G11" s="1">
        <v>45301</v>
      </c>
      <c r="H11" t="s">
        <v>18</v>
      </c>
      <c r="I11" t="s">
        <v>51</v>
      </c>
    </row>
    <row r="12" spans="1:9" x14ac:dyDescent="0.35">
      <c r="A12" t="s">
        <v>53</v>
      </c>
      <c r="B12" t="s">
        <v>24</v>
      </c>
      <c r="C12" t="s">
        <v>43</v>
      </c>
      <c r="D12">
        <v>7</v>
      </c>
      <c r="E12">
        <v>68649.2</v>
      </c>
      <c r="F12">
        <v>480544.4</v>
      </c>
      <c r="G12" s="1">
        <v>45501</v>
      </c>
      <c r="H12" t="s">
        <v>18</v>
      </c>
      <c r="I12" t="s">
        <v>54</v>
      </c>
    </row>
    <row r="13" spans="1:9" x14ac:dyDescent="0.35">
      <c r="A13" t="s">
        <v>57</v>
      </c>
      <c r="B13" t="s">
        <v>12</v>
      </c>
      <c r="C13" t="s">
        <v>17</v>
      </c>
      <c r="D13">
        <v>68</v>
      </c>
      <c r="E13">
        <v>15880.87</v>
      </c>
      <c r="F13">
        <v>1079899.1599999999</v>
      </c>
      <c r="G13" s="1">
        <v>45398</v>
      </c>
      <c r="H13" t="s">
        <v>11</v>
      </c>
      <c r="I13" t="s">
        <v>58</v>
      </c>
    </row>
    <row r="14" spans="1:9" x14ac:dyDescent="0.35">
      <c r="A14" t="s">
        <v>59</v>
      </c>
      <c r="B14" t="s">
        <v>16</v>
      </c>
      <c r="C14" t="s">
        <v>43</v>
      </c>
      <c r="D14">
        <v>96</v>
      </c>
      <c r="E14">
        <v>144394.41</v>
      </c>
      <c r="F14">
        <v>13861863.359999999</v>
      </c>
      <c r="G14" s="1">
        <v>45548</v>
      </c>
      <c r="H14" t="s">
        <v>8</v>
      </c>
      <c r="I14" t="s">
        <v>60</v>
      </c>
    </row>
    <row r="15" spans="1:9" x14ac:dyDescent="0.35">
      <c r="A15" t="s">
        <v>61</v>
      </c>
      <c r="B15" t="s">
        <v>62</v>
      </c>
      <c r="C15" t="s">
        <v>56</v>
      </c>
      <c r="D15">
        <v>65</v>
      </c>
      <c r="E15">
        <v>246587.56</v>
      </c>
      <c r="F15">
        <v>16028191.4</v>
      </c>
      <c r="G15" s="1">
        <v>45546</v>
      </c>
      <c r="H15" t="s">
        <v>11</v>
      </c>
      <c r="I15" t="s">
        <v>63</v>
      </c>
    </row>
    <row r="16" spans="1:9" x14ac:dyDescent="0.35">
      <c r="A16" t="s">
        <v>64</v>
      </c>
      <c r="B16" t="s">
        <v>20</v>
      </c>
      <c r="C16" t="s">
        <v>34</v>
      </c>
      <c r="D16">
        <v>79</v>
      </c>
      <c r="E16">
        <v>73037.87</v>
      </c>
      <c r="F16">
        <v>5769991.7300000004</v>
      </c>
      <c r="G16" s="1">
        <v>45218</v>
      </c>
      <c r="H16" t="s">
        <v>11</v>
      </c>
      <c r="I16" t="s">
        <v>65</v>
      </c>
    </row>
    <row r="17" spans="1:9" x14ac:dyDescent="0.35">
      <c r="A17" t="s">
        <v>67</v>
      </c>
      <c r="B17" t="s">
        <v>12</v>
      </c>
      <c r="C17" t="s">
        <v>17</v>
      </c>
      <c r="D17">
        <v>4</v>
      </c>
      <c r="E17">
        <v>57639.91</v>
      </c>
      <c r="F17">
        <v>230559.64</v>
      </c>
      <c r="G17" s="1">
        <v>45169</v>
      </c>
      <c r="H17" t="s">
        <v>28</v>
      </c>
    </row>
    <row r="18" spans="1:9" x14ac:dyDescent="0.35">
      <c r="A18" t="s">
        <v>68</v>
      </c>
      <c r="B18" t="s">
        <v>62</v>
      </c>
      <c r="C18" t="s">
        <v>13</v>
      </c>
      <c r="D18">
        <v>10</v>
      </c>
      <c r="E18">
        <v>150794.94</v>
      </c>
      <c r="F18">
        <v>1507949.4</v>
      </c>
      <c r="G18" s="1">
        <v>45489</v>
      </c>
      <c r="I18" t="s">
        <v>69</v>
      </c>
    </row>
    <row r="19" spans="1:9" x14ac:dyDescent="0.35">
      <c r="A19" t="s">
        <v>70</v>
      </c>
      <c r="B19" t="s">
        <v>22</v>
      </c>
      <c r="C19" t="s">
        <v>43</v>
      </c>
      <c r="D19">
        <v>19</v>
      </c>
      <c r="E19">
        <v>141745.84</v>
      </c>
      <c r="F19">
        <v>2693170.96</v>
      </c>
      <c r="G19" s="1">
        <v>45437</v>
      </c>
      <c r="H19" t="s">
        <v>8</v>
      </c>
      <c r="I19" t="s">
        <v>71</v>
      </c>
    </row>
    <row r="20" spans="1:9" x14ac:dyDescent="0.35">
      <c r="A20" t="s">
        <v>302</v>
      </c>
      <c r="B20" t="s">
        <v>20</v>
      </c>
      <c r="C20" t="s">
        <v>13</v>
      </c>
      <c r="D20">
        <v>93</v>
      </c>
      <c r="E20">
        <v>138169.23000000001</v>
      </c>
      <c r="F20">
        <v>12849738.390000001</v>
      </c>
      <c r="G20" s="1">
        <v>45646</v>
      </c>
      <c r="H20" t="s">
        <v>18</v>
      </c>
      <c r="I20" t="s">
        <v>73</v>
      </c>
    </row>
    <row r="21" spans="1:9" x14ac:dyDescent="0.35">
      <c r="A21" t="s">
        <v>74</v>
      </c>
      <c r="B21" t="s">
        <v>52</v>
      </c>
      <c r="C21" t="s">
        <v>34</v>
      </c>
      <c r="D21">
        <v>94</v>
      </c>
      <c r="E21">
        <v>204383.39</v>
      </c>
      <c r="F21">
        <v>19212038.66</v>
      </c>
      <c r="G21" s="1">
        <v>45761</v>
      </c>
      <c r="I21" t="s">
        <v>75</v>
      </c>
    </row>
    <row r="22" spans="1:9" x14ac:dyDescent="0.35">
      <c r="A22" t="s">
        <v>76</v>
      </c>
      <c r="B22" t="s">
        <v>23</v>
      </c>
      <c r="C22" t="s">
        <v>43</v>
      </c>
      <c r="D22">
        <v>61</v>
      </c>
      <c r="E22">
        <v>287222.55</v>
      </c>
      <c r="F22">
        <v>17520575.550000001</v>
      </c>
      <c r="G22" s="1">
        <v>45259</v>
      </c>
      <c r="H22" t="s">
        <v>28</v>
      </c>
      <c r="I22" t="s">
        <v>77</v>
      </c>
    </row>
    <row r="23" spans="1:9" x14ac:dyDescent="0.35">
      <c r="A23" t="s">
        <v>78</v>
      </c>
      <c r="B23" t="s">
        <v>79</v>
      </c>
      <c r="C23" t="s">
        <v>15</v>
      </c>
      <c r="D23">
        <v>12</v>
      </c>
      <c r="E23">
        <v>84062.42</v>
      </c>
      <c r="F23">
        <v>1008749.04</v>
      </c>
      <c r="G23" s="1">
        <v>45714</v>
      </c>
      <c r="H23" t="s">
        <v>11</v>
      </c>
      <c r="I23" t="s">
        <v>80</v>
      </c>
    </row>
    <row r="24" spans="1:9" x14ac:dyDescent="0.35">
      <c r="A24" t="s">
        <v>82</v>
      </c>
      <c r="B24" t="s">
        <v>26</v>
      </c>
      <c r="C24" t="s">
        <v>56</v>
      </c>
      <c r="D24">
        <v>93</v>
      </c>
      <c r="E24">
        <v>280378.37</v>
      </c>
      <c r="F24">
        <v>26075188.41</v>
      </c>
      <c r="G24" s="1">
        <v>45354</v>
      </c>
      <c r="H24" t="s">
        <v>18</v>
      </c>
      <c r="I24" t="s">
        <v>83</v>
      </c>
    </row>
    <row r="25" spans="1:9" x14ac:dyDescent="0.35">
      <c r="A25" t="s">
        <v>84</v>
      </c>
      <c r="B25" t="s">
        <v>62</v>
      </c>
      <c r="C25" t="s">
        <v>10</v>
      </c>
      <c r="D25">
        <v>65</v>
      </c>
      <c r="E25">
        <v>163185.67000000001</v>
      </c>
      <c r="F25">
        <v>10607068.550000001</v>
      </c>
      <c r="G25" s="1">
        <v>45844</v>
      </c>
      <c r="H25" t="s">
        <v>28</v>
      </c>
      <c r="I25" t="s">
        <v>85</v>
      </c>
    </row>
    <row r="26" spans="1:9" x14ac:dyDescent="0.35">
      <c r="A26" t="s">
        <v>86</v>
      </c>
      <c r="B26" t="s">
        <v>23</v>
      </c>
      <c r="C26" t="s">
        <v>10</v>
      </c>
      <c r="D26">
        <v>62</v>
      </c>
      <c r="E26">
        <v>118662.47</v>
      </c>
      <c r="F26">
        <v>7357073.1399999997</v>
      </c>
      <c r="G26" s="1">
        <v>45293</v>
      </c>
      <c r="I26" t="s">
        <v>87</v>
      </c>
    </row>
    <row r="27" spans="1:9" x14ac:dyDescent="0.35">
      <c r="A27" t="s">
        <v>88</v>
      </c>
      <c r="B27" t="s">
        <v>33</v>
      </c>
      <c r="C27" t="s">
        <v>13</v>
      </c>
      <c r="D27">
        <v>74</v>
      </c>
      <c r="E27">
        <v>44369.599999999999</v>
      </c>
      <c r="F27">
        <v>3283350.4</v>
      </c>
      <c r="G27" s="1">
        <v>45813</v>
      </c>
      <c r="H27" t="s">
        <v>8</v>
      </c>
      <c r="I27" t="s">
        <v>89</v>
      </c>
    </row>
    <row r="28" spans="1:9" x14ac:dyDescent="0.35">
      <c r="B28" t="s">
        <v>49</v>
      </c>
      <c r="C28" t="s">
        <v>43</v>
      </c>
      <c r="D28">
        <v>1</v>
      </c>
      <c r="E28">
        <v>168824.4</v>
      </c>
      <c r="F28">
        <v>168824.4</v>
      </c>
      <c r="G28" s="1">
        <v>45353</v>
      </c>
      <c r="H28" t="s">
        <v>18</v>
      </c>
      <c r="I28" t="s">
        <v>91</v>
      </c>
    </row>
    <row r="29" spans="1:9" x14ac:dyDescent="0.35">
      <c r="A29" t="s">
        <v>92</v>
      </c>
      <c r="B29" t="s">
        <v>62</v>
      </c>
      <c r="C29" t="s">
        <v>17</v>
      </c>
      <c r="D29">
        <v>9</v>
      </c>
      <c r="E29">
        <v>222396.85</v>
      </c>
      <c r="F29">
        <v>2001571.65</v>
      </c>
      <c r="G29" s="1">
        <v>45190</v>
      </c>
      <c r="H29" t="s">
        <v>11</v>
      </c>
      <c r="I29" t="s">
        <v>93</v>
      </c>
    </row>
    <row r="30" spans="1:9" x14ac:dyDescent="0.35">
      <c r="A30" t="s">
        <v>94</v>
      </c>
      <c r="B30" t="s">
        <v>14</v>
      </c>
      <c r="C30" t="s">
        <v>15</v>
      </c>
      <c r="D30">
        <v>4</v>
      </c>
      <c r="E30">
        <v>15704.25</v>
      </c>
      <c r="F30">
        <v>62817</v>
      </c>
      <c r="G30" s="1">
        <v>45615</v>
      </c>
      <c r="I30" t="s">
        <v>95</v>
      </c>
    </row>
    <row r="31" spans="1:9" x14ac:dyDescent="0.35">
      <c r="A31" t="s">
        <v>96</v>
      </c>
      <c r="B31" t="s">
        <v>23</v>
      </c>
      <c r="C31" t="s">
        <v>43</v>
      </c>
      <c r="D31">
        <v>44</v>
      </c>
      <c r="E31">
        <v>70234.55</v>
      </c>
      <c r="F31">
        <v>3090320.2</v>
      </c>
      <c r="G31" s="1">
        <v>45237</v>
      </c>
      <c r="H31" t="s">
        <v>28</v>
      </c>
      <c r="I31" t="s">
        <v>97</v>
      </c>
    </row>
    <row r="32" spans="1:9" x14ac:dyDescent="0.35">
      <c r="B32" t="s">
        <v>98</v>
      </c>
      <c r="C32" t="s">
        <v>56</v>
      </c>
      <c r="D32">
        <v>77</v>
      </c>
      <c r="E32">
        <v>204517</v>
      </c>
      <c r="F32">
        <v>15747809</v>
      </c>
      <c r="G32" s="1">
        <v>45677</v>
      </c>
      <c r="H32" t="s">
        <v>18</v>
      </c>
      <c r="I32" t="s">
        <v>99</v>
      </c>
    </row>
    <row r="33" spans="1:9" x14ac:dyDescent="0.35">
      <c r="A33" t="s">
        <v>100</v>
      </c>
      <c r="B33" t="s">
        <v>24</v>
      </c>
      <c r="C33" t="s">
        <v>43</v>
      </c>
      <c r="D33">
        <v>7</v>
      </c>
      <c r="E33">
        <v>41671.379999999997</v>
      </c>
      <c r="F33">
        <v>291699.65999999997</v>
      </c>
      <c r="G33" s="1">
        <v>45818</v>
      </c>
      <c r="I33" t="s">
        <v>101</v>
      </c>
    </row>
    <row r="34" spans="1:9" x14ac:dyDescent="0.35">
      <c r="A34" t="s">
        <v>102</v>
      </c>
      <c r="B34" t="s">
        <v>9</v>
      </c>
      <c r="C34" t="s">
        <v>13</v>
      </c>
      <c r="D34">
        <v>56</v>
      </c>
      <c r="E34">
        <v>86529.89</v>
      </c>
      <c r="F34">
        <v>4845673.84</v>
      </c>
      <c r="G34" s="1">
        <v>45181</v>
      </c>
      <c r="I34" t="s">
        <v>103</v>
      </c>
    </row>
    <row r="35" spans="1:9" x14ac:dyDescent="0.35">
      <c r="A35" t="s">
        <v>104</v>
      </c>
      <c r="B35" t="s">
        <v>20</v>
      </c>
      <c r="C35" t="s">
        <v>17</v>
      </c>
      <c r="D35">
        <v>6</v>
      </c>
      <c r="E35">
        <v>195863.47</v>
      </c>
      <c r="F35">
        <v>1175180.82</v>
      </c>
      <c r="G35" s="1">
        <v>45323</v>
      </c>
      <c r="H35" t="s">
        <v>18</v>
      </c>
      <c r="I35" t="s">
        <v>105</v>
      </c>
    </row>
    <row r="36" spans="1:9" x14ac:dyDescent="0.35">
      <c r="A36" t="s">
        <v>106</v>
      </c>
      <c r="B36" t="s">
        <v>24</v>
      </c>
      <c r="C36" t="s">
        <v>15</v>
      </c>
      <c r="D36">
        <v>8</v>
      </c>
      <c r="E36">
        <v>221736.61</v>
      </c>
      <c r="F36">
        <v>1773892.88</v>
      </c>
      <c r="G36" s="1">
        <v>45281</v>
      </c>
      <c r="H36" t="s">
        <v>18</v>
      </c>
      <c r="I36" t="s">
        <v>107</v>
      </c>
    </row>
    <row r="37" spans="1:9" x14ac:dyDescent="0.35">
      <c r="A37" t="s">
        <v>108</v>
      </c>
      <c r="B37" t="s">
        <v>47</v>
      </c>
      <c r="C37" t="s">
        <v>17</v>
      </c>
      <c r="D37">
        <v>28</v>
      </c>
      <c r="E37">
        <v>11670.82</v>
      </c>
      <c r="F37">
        <v>326782.96000000002</v>
      </c>
      <c r="G37" s="1">
        <v>45562</v>
      </c>
      <c r="H37" t="s">
        <v>8</v>
      </c>
      <c r="I37" t="s">
        <v>109</v>
      </c>
    </row>
    <row r="38" spans="1:9" x14ac:dyDescent="0.35">
      <c r="A38" t="s">
        <v>110</v>
      </c>
      <c r="B38" t="s">
        <v>35</v>
      </c>
      <c r="C38" t="s">
        <v>13</v>
      </c>
      <c r="D38">
        <v>56</v>
      </c>
      <c r="E38">
        <v>280209.82</v>
      </c>
      <c r="F38">
        <v>15691749.92</v>
      </c>
      <c r="G38" s="1">
        <v>45504</v>
      </c>
      <c r="H38" t="s">
        <v>28</v>
      </c>
      <c r="I38" t="s">
        <v>111</v>
      </c>
    </row>
    <row r="39" spans="1:9" x14ac:dyDescent="0.35">
      <c r="A39" t="s">
        <v>113</v>
      </c>
      <c r="B39" t="s">
        <v>33</v>
      </c>
      <c r="C39" t="s">
        <v>34</v>
      </c>
      <c r="D39">
        <v>46</v>
      </c>
      <c r="E39">
        <v>224826.46</v>
      </c>
      <c r="F39">
        <v>10342017.16</v>
      </c>
      <c r="G39" s="1">
        <v>45616</v>
      </c>
      <c r="H39" t="s">
        <v>8</v>
      </c>
      <c r="I39" t="s">
        <v>114</v>
      </c>
    </row>
    <row r="40" spans="1:9" x14ac:dyDescent="0.35">
      <c r="A40" t="s">
        <v>115</v>
      </c>
      <c r="B40" t="s">
        <v>14</v>
      </c>
      <c r="C40" t="s">
        <v>13</v>
      </c>
      <c r="D40">
        <v>56</v>
      </c>
      <c r="E40">
        <v>40692.879999999997</v>
      </c>
      <c r="F40">
        <v>2278801.2799999998</v>
      </c>
      <c r="G40" s="1">
        <v>45459</v>
      </c>
      <c r="H40" t="s">
        <v>8</v>
      </c>
      <c r="I40" t="s">
        <v>116</v>
      </c>
    </row>
    <row r="41" spans="1:9" x14ac:dyDescent="0.35">
      <c r="A41" t="s">
        <v>117</v>
      </c>
      <c r="B41" t="s">
        <v>49</v>
      </c>
      <c r="C41" t="s">
        <v>15</v>
      </c>
      <c r="D41">
        <v>68</v>
      </c>
      <c r="E41">
        <v>242739.76</v>
      </c>
      <c r="F41">
        <v>16506303.68</v>
      </c>
      <c r="G41" s="1">
        <v>45478</v>
      </c>
      <c r="H41" t="s">
        <v>11</v>
      </c>
      <c r="I41" t="s">
        <v>118</v>
      </c>
    </row>
    <row r="42" spans="1:9" x14ac:dyDescent="0.35">
      <c r="A42" t="s">
        <v>119</v>
      </c>
      <c r="B42" t="s">
        <v>23</v>
      </c>
      <c r="C42" t="s">
        <v>15</v>
      </c>
      <c r="D42">
        <v>100</v>
      </c>
      <c r="E42">
        <v>215720.15</v>
      </c>
      <c r="F42">
        <v>21572015</v>
      </c>
      <c r="G42" s="1">
        <v>45229</v>
      </c>
    </row>
    <row r="43" spans="1:9" x14ac:dyDescent="0.35">
      <c r="A43" t="s">
        <v>120</v>
      </c>
      <c r="B43" t="s">
        <v>52</v>
      </c>
      <c r="C43" t="s">
        <v>34</v>
      </c>
      <c r="D43">
        <v>83</v>
      </c>
      <c r="E43">
        <v>58351.81</v>
      </c>
      <c r="F43">
        <v>4843200.2300000004</v>
      </c>
      <c r="G43" s="1">
        <v>45786</v>
      </c>
      <c r="H43" t="s">
        <v>8</v>
      </c>
      <c r="I43" t="s">
        <v>121</v>
      </c>
    </row>
    <row r="44" spans="1:9" x14ac:dyDescent="0.35">
      <c r="A44" t="s">
        <v>122</v>
      </c>
      <c r="B44" t="s">
        <v>12</v>
      </c>
      <c r="C44" t="s">
        <v>13</v>
      </c>
      <c r="D44">
        <v>31</v>
      </c>
      <c r="E44">
        <v>183480.87</v>
      </c>
      <c r="F44">
        <v>5687906.9699999997</v>
      </c>
      <c r="G44" s="1">
        <v>45386</v>
      </c>
      <c r="H44" t="s">
        <v>11</v>
      </c>
      <c r="I44" t="s">
        <v>123</v>
      </c>
    </row>
    <row r="45" spans="1:9" x14ac:dyDescent="0.35">
      <c r="A45" t="s">
        <v>124</v>
      </c>
      <c r="B45" t="s">
        <v>37</v>
      </c>
      <c r="C45" t="s">
        <v>15</v>
      </c>
      <c r="D45">
        <v>26</v>
      </c>
      <c r="E45">
        <v>121944.37</v>
      </c>
      <c r="F45">
        <v>3170553.62</v>
      </c>
      <c r="G45" s="1">
        <v>45219</v>
      </c>
      <c r="I45" t="s">
        <v>125</v>
      </c>
    </row>
    <row r="46" spans="1:9" x14ac:dyDescent="0.35">
      <c r="A46" t="s">
        <v>126</v>
      </c>
      <c r="B46" t="s">
        <v>24</v>
      </c>
      <c r="C46" t="s">
        <v>15</v>
      </c>
      <c r="D46">
        <v>78</v>
      </c>
      <c r="E46">
        <v>128597.12</v>
      </c>
      <c r="F46">
        <v>10030575.359999999</v>
      </c>
      <c r="G46" s="1">
        <v>45708</v>
      </c>
      <c r="I46" t="s">
        <v>127</v>
      </c>
    </row>
    <row r="47" spans="1:9" x14ac:dyDescent="0.35">
      <c r="A47" t="s">
        <v>128</v>
      </c>
      <c r="B47" t="s">
        <v>81</v>
      </c>
      <c r="C47" t="s">
        <v>15</v>
      </c>
      <c r="D47">
        <v>41</v>
      </c>
      <c r="E47">
        <v>80464.800000000003</v>
      </c>
      <c r="F47">
        <v>3299056.8</v>
      </c>
      <c r="G47" s="1">
        <v>45310</v>
      </c>
      <c r="H47" t="s">
        <v>28</v>
      </c>
      <c r="I47" t="s">
        <v>129</v>
      </c>
    </row>
    <row r="48" spans="1:9" x14ac:dyDescent="0.35">
      <c r="B48" t="s">
        <v>22</v>
      </c>
      <c r="C48" t="s">
        <v>10</v>
      </c>
      <c r="D48">
        <v>65</v>
      </c>
      <c r="E48">
        <v>108185.85</v>
      </c>
      <c r="F48">
        <v>7032080.25</v>
      </c>
      <c r="G48" s="1">
        <v>45789</v>
      </c>
      <c r="H48" t="s">
        <v>18</v>
      </c>
      <c r="I48" t="s">
        <v>130</v>
      </c>
    </row>
    <row r="49" spans="1:9" x14ac:dyDescent="0.35">
      <c r="A49" t="s">
        <v>131</v>
      </c>
      <c r="B49" t="s">
        <v>49</v>
      </c>
      <c r="C49" t="s">
        <v>56</v>
      </c>
      <c r="D49">
        <v>58</v>
      </c>
      <c r="E49">
        <v>200501.94</v>
      </c>
      <c r="F49">
        <v>11629112.52</v>
      </c>
      <c r="G49" s="1">
        <v>45442</v>
      </c>
      <c r="H49" t="s">
        <v>8</v>
      </c>
      <c r="I49" t="s">
        <v>132</v>
      </c>
    </row>
    <row r="50" spans="1:9" x14ac:dyDescent="0.35">
      <c r="A50" t="s">
        <v>133</v>
      </c>
      <c r="B50" t="s">
        <v>9</v>
      </c>
      <c r="C50" t="s">
        <v>15</v>
      </c>
      <c r="D50">
        <v>37</v>
      </c>
      <c r="E50">
        <v>48335.19</v>
      </c>
      <c r="F50">
        <v>1788402.03</v>
      </c>
      <c r="G50" s="1">
        <v>45790</v>
      </c>
      <c r="H50" t="s">
        <v>11</v>
      </c>
      <c r="I50" t="s">
        <v>134</v>
      </c>
    </row>
    <row r="51" spans="1:9" x14ac:dyDescent="0.35">
      <c r="A51" t="s">
        <v>135</v>
      </c>
      <c r="B51" t="s">
        <v>12</v>
      </c>
      <c r="C51" t="s">
        <v>13</v>
      </c>
      <c r="D51">
        <v>65</v>
      </c>
      <c r="E51">
        <v>66644.350000000006</v>
      </c>
      <c r="F51">
        <v>4331882.75</v>
      </c>
      <c r="G51" s="1">
        <v>45710</v>
      </c>
      <c r="H51" t="s">
        <v>18</v>
      </c>
      <c r="I51" t="s">
        <v>136</v>
      </c>
    </row>
    <row r="52" spans="1:9" x14ac:dyDescent="0.35">
      <c r="A52" t="s">
        <v>137</v>
      </c>
      <c r="B52" t="s">
        <v>22</v>
      </c>
      <c r="C52" t="s">
        <v>10</v>
      </c>
      <c r="D52">
        <v>92</v>
      </c>
      <c r="E52">
        <v>143715.48000000001</v>
      </c>
      <c r="F52">
        <v>13221824.16</v>
      </c>
      <c r="G52" s="1">
        <v>45517</v>
      </c>
      <c r="H52" t="s">
        <v>8</v>
      </c>
      <c r="I52" t="s">
        <v>138</v>
      </c>
    </row>
    <row r="53" spans="1:9" x14ac:dyDescent="0.35">
      <c r="A53" t="s">
        <v>139</v>
      </c>
      <c r="B53" t="s">
        <v>49</v>
      </c>
      <c r="C53" t="s">
        <v>15</v>
      </c>
      <c r="D53">
        <v>23</v>
      </c>
      <c r="E53">
        <v>296656.96999999997</v>
      </c>
      <c r="F53">
        <v>6823110.3099999996</v>
      </c>
      <c r="G53" s="1">
        <v>45505</v>
      </c>
      <c r="H53" t="s">
        <v>8</v>
      </c>
      <c r="I53" t="s">
        <v>140</v>
      </c>
    </row>
    <row r="54" spans="1:9" x14ac:dyDescent="0.35">
      <c r="A54" t="s">
        <v>141</v>
      </c>
      <c r="B54" t="s">
        <v>90</v>
      </c>
      <c r="C54" t="s">
        <v>43</v>
      </c>
      <c r="D54">
        <v>79</v>
      </c>
      <c r="E54">
        <v>227326.48</v>
      </c>
      <c r="F54">
        <v>17958791.920000002</v>
      </c>
      <c r="G54" s="1">
        <v>45136</v>
      </c>
      <c r="H54" t="s">
        <v>8</v>
      </c>
      <c r="I54" t="s">
        <v>142</v>
      </c>
    </row>
    <row r="55" spans="1:9" x14ac:dyDescent="0.35">
      <c r="A55" t="s">
        <v>143</v>
      </c>
      <c r="B55" t="s">
        <v>62</v>
      </c>
      <c r="C55" t="s">
        <v>13</v>
      </c>
      <c r="D55">
        <v>43</v>
      </c>
      <c r="E55">
        <v>34106.53</v>
      </c>
      <c r="F55">
        <v>1466580.79</v>
      </c>
      <c r="G55" s="1">
        <v>45582</v>
      </c>
      <c r="H55" t="s">
        <v>28</v>
      </c>
      <c r="I55" t="s">
        <v>144</v>
      </c>
    </row>
    <row r="56" spans="1:9" x14ac:dyDescent="0.35">
      <c r="A56" t="s">
        <v>145</v>
      </c>
      <c r="B56" t="s">
        <v>33</v>
      </c>
      <c r="C56" t="s">
        <v>56</v>
      </c>
      <c r="D56">
        <v>51</v>
      </c>
      <c r="E56">
        <v>49778.879999999997</v>
      </c>
      <c r="F56">
        <v>2538722.88</v>
      </c>
      <c r="G56" s="1">
        <v>45483</v>
      </c>
      <c r="I56" t="s">
        <v>146</v>
      </c>
    </row>
    <row r="57" spans="1:9" x14ac:dyDescent="0.35">
      <c r="A57" t="s">
        <v>147</v>
      </c>
      <c r="B57" t="s">
        <v>20</v>
      </c>
      <c r="C57" t="s">
        <v>43</v>
      </c>
      <c r="D57">
        <v>40</v>
      </c>
      <c r="E57">
        <v>169391.4</v>
      </c>
      <c r="F57">
        <v>6775656</v>
      </c>
      <c r="G57" s="1">
        <v>45711</v>
      </c>
      <c r="H57" t="s">
        <v>8</v>
      </c>
      <c r="I57" t="s">
        <v>148</v>
      </c>
    </row>
    <row r="58" spans="1:9" x14ac:dyDescent="0.35">
      <c r="A58" t="s">
        <v>149</v>
      </c>
      <c r="B58" t="s">
        <v>9</v>
      </c>
      <c r="C58" t="s">
        <v>15</v>
      </c>
      <c r="D58">
        <v>25</v>
      </c>
      <c r="E58">
        <v>201993.93</v>
      </c>
      <c r="F58">
        <v>5049848.25</v>
      </c>
      <c r="G58" s="1">
        <v>45153</v>
      </c>
      <c r="H58" t="s">
        <v>11</v>
      </c>
      <c r="I58" t="s">
        <v>150</v>
      </c>
    </row>
    <row r="59" spans="1:9" x14ac:dyDescent="0.35">
      <c r="A59" t="s">
        <v>151</v>
      </c>
      <c r="B59" t="s">
        <v>23</v>
      </c>
      <c r="C59" t="s">
        <v>56</v>
      </c>
      <c r="D59">
        <v>18</v>
      </c>
      <c r="E59">
        <v>92796.78</v>
      </c>
      <c r="F59">
        <v>1670342.04</v>
      </c>
      <c r="G59" s="1">
        <v>45429</v>
      </c>
      <c r="H59" t="s">
        <v>11</v>
      </c>
    </row>
    <row r="60" spans="1:9" x14ac:dyDescent="0.35">
      <c r="A60" t="s">
        <v>152</v>
      </c>
      <c r="B60" t="s">
        <v>98</v>
      </c>
      <c r="C60" t="s">
        <v>43</v>
      </c>
      <c r="D60">
        <v>21</v>
      </c>
      <c r="E60">
        <v>162578.47</v>
      </c>
      <c r="F60">
        <v>3414147.87</v>
      </c>
      <c r="G60" s="1">
        <v>45418</v>
      </c>
      <c r="H60" t="s">
        <v>18</v>
      </c>
      <c r="I60" t="s">
        <v>153</v>
      </c>
    </row>
    <row r="61" spans="1:9" x14ac:dyDescent="0.35">
      <c r="A61" t="s">
        <v>154</v>
      </c>
      <c r="B61" t="s">
        <v>62</v>
      </c>
      <c r="C61" t="s">
        <v>10</v>
      </c>
      <c r="D61">
        <v>57</v>
      </c>
      <c r="E61">
        <v>295848.11</v>
      </c>
      <c r="F61">
        <v>16863342.27</v>
      </c>
      <c r="G61" s="1">
        <v>45711</v>
      </c>
      <c r="I61" t="s">
        <v>155</v>
      </c>
    </row>
    <row r="62" spans="1:9" x14ac:dyDescent="0.35">
      <c r="A62" t="s">
        <v>156</v>
      </c>
      <c r="B62" t="s">
        <v>16</v>
      </c>
      <c r="C62" t="s">
        <v>15</v>
      </c>
      <c r="D62">
        <v>69</v>
      </c>
      <c r="E62">
        <v>218922.21</v>
      </c>
      <c r="F62">
        <v>15105632.49</v>
      </c>
      <c r="G62" s="1">
        <v>45210</v>
      </c>
      <c r="H62" t="s">
        <v>11</v>
      </c>
      <c r="I62" t="s">
        <v>157</v>
      </c>
    </row>
    <row r="63" spans="1:9" x14ac:dyDescent="0.35">
      <c r="A63" t="s">
        <v>158</v>
      </c>
      <c r="B63" t="s">
        <v>55</v>
      </c>
      <c r="C63" t="s">
        <v>13</v>
      </c>
      <c r="D63">
        <v>54</v>
      </c>
      <c r="E63">
        <v>289261.24</v>
      </c>
      <c r="F63">
        <v>15620106.960000001</v>
      </c>
      <c r="G63" s="1">
        <v>45847</v>
      </c>
      <c r="H63" t="s">
        <v>11</v>
      </c>
      <c r="I63" t="s">
        <v>159</v>
      </c>
    </row>
    <row r="64" spans="1:9" x14ac:dyDescent="0.35">
      <c r="A64" t="s">
        <v>303</v>
      </c>
      <c r="B64" t="s">
        <v>35</v>
      </c>
      <c r="C64" t="s">
        <v>15</v>
      </c>
      <c r="D64">
        <v>71</v>
      </c>
      <c r="E64">
        <v>36030.629999999997</v>
      </c>
      <c r="F64">
        <v>2558174.73</v>
      </c>
      <c r="G64" s="1">
        <v>45585</v>
      </c>
      <c r="I64" t="s">
        <v>160</v>
      </c>
    </row>
    <row r="65" spans="1:9" x14ac:dyDescent="0.35">
      <c r="A65" t="s">
        <v>161</v>
      </c>
      <c r="B65" t="s">
        <v>26</v>
      </c>
      <c r="C65" t="s">
        <v>17</v>
      </c>
      <c r="D65">
        <v>11</v>
      </c>
      <c r="E65">
        <v>38640.449999999997</v>
      </c>
      <c r="F65">
        <v>425044.95</v>
      </c>
      <c r="G65" s="1">
        <v>45506</v>
      </c>
      <c r="I65" t="s">
        <v>162</v>
      </c>
    </row>
    <row r="66" spans="1:9" x14ac:dyDescent="0.35">
      <c r="A66" t="s">
        <v>163</v>
      </c>
      <c r="B66" t="s">
        <v>23</v>
      </c>
      <c r="C66" t="s">
        <v>15</v>
      </c>
      <c r="D66">
        <v>66</v>
      </c>
      <c r="E66">
        <v>250529.07</v>
      </c>
      <c r="F66">
        <v>16534918.619999999</v>
      </c>
      <c r="G66" s="1">
        <v>45153</v>
      </c>
      <c r="I66" t="s">
        <v>164</v>
      </c>
    </row>
    <row r="67" spans="1:9" x14ac:dyDescent="0.35">
      <c r="A67" t="s">
        <v>165</v>
      </c>
      <c r="B67" t="s">
        <v>37</v>
      </c>
      <c r="C67" t="s">
        <v>13</v>
      </c>
      <c r="D67">
        <v>45</v>
      </c>
      <c r="E67">
        <v>293557.96000000002</v>
      </c>
      <c r="F67">
        <v>13210108.199999999</v>
      </c>
      <c r="G67" s="1">
        <v>45672</v>
      </c>
      <c r="H67" t="s">
        <v>28</v>
      </c>
      <c r="I67" t="s">
        <v>166</v>
      </c>
    </row>
    <row r="68" spans="1:9" x14ac:dyDescent="0.35">
      <c r="A68" t="s">
        <v>167</v>
      </c>
      <c r="B68" t="s">
        <v>23</v>
      </c>
      <c r="C68" t="s">
        <v>13</v>
      </c>
      <c r="D68">
        <v>54</v>
      </c>
      <c r="E68">
        <v>139169.67000000001</v>
      </c>
      <c r="F68">
        <v>7515162.1799999997</v>
      </c>
      <c r="G68" s="1">
        <v>45376</v>
      </c>
      <c r="H68" t="s">
        <v>18</v>
      </c>
      <c r="I68" t="s">
        <v>168</v>
      </c>
    </row>
    <row r="69" spans="1:9" x14ac:dyDescent="0.35">
      <c r="A69" t="s">
        <v>169</v>
      </c>
      <c r="B69" t="s">
        <v>62</v>
      </c>
      <c r="C69" t="s">
        <v>10</v>
      </c>
      <c r="D69">
        <v>48</v>
      </c>
      <c r="E69">
        <v>127526.34</v>
      </c>
      <c r="F69">
        <v>6121264.3200000003</v>
      </c>
      <c r="G69" s="1">
        <v>45485</v>
      </c>
      <c r="H69" t="s">
        <v>28</v>
      </c>
      <c r="I69" t="s">
        <v>170</v>
      </c>
    </row>
    <row r="70" spans="1:9" x14ac:dyDescent="0.35">
      <c r="A70" t="s">
        <v>171</v>
      </c>
      <c r="B70" t="s">
        <v>20</v>
      </c>
      <c r="C70" t="s">
        <v>43</v>
      </c>
      <c r="D70">
        <v>50</v>
      </c>
      <c r="E70">
        <v>114093.3</v>
      </c>
      <c r="F70">
        <v>5704665</v>
      </c>
      <c r="G70" s="1">
        <v>45521</v>
      </c>
      <c r="I70" t="s">
        <v>172</v>
      </c>
    </row>
    <row r="71" spans="1:9" x14ac:dyDescent="0.35">
      <c r="A71" t="s">
        <v>173</v>
      </c>
      <c r="B71" t="s">
        <v>49</v>
      </c>
      <c r="C71" t="s">
        <v>13</v>
      </c>
      <c r="D71">
        <v>48</v>
      </c>
      <c r="E71">
        <v>69284.39</v>
      </c>
      <c r="F71">
        <v>3325650.72</v>
      </c>
      <c r="G71" s="1">
        <v>45472</v>
      </c>
      <c r="H71" t="s">
        <v>28</v>
      </c>
      <c r="I71" t="s">
        <v>174</v>
      </c>
    </row>
    <row r="72" spans="1:9" x14ac:dyDescent="0.35">
      <c r="A72" t="s">
        <v>175</v>
      </c>
      <c r="B72" t="s">
        <v>26</v>
      </c>
      <c r="C72" t="s">
        <v>43</v>
      </c>
      <c r="D72">
        <v>19</v>
      </c>
      <c r="E72">
        <v>56949.9</v>
      </c>
      <c r="F72">
        <v>1082048.1000000001</v>
      </c>
      <c r="G72" s="1">
        <v>45518</v>
      </c>
      <c r="H72" t="s">
        <v>28</v>
      </c>
      <c r="I72" t="s">
        <v>176</v>
      </c>
    </row>
    <row r="73" spans="1:9" x14ac:dyDescent="0.35">
      <c r="A73" t="s">
        <v>177</v>
      </c>
      <c r="B73" t="s">
        <v>49</v>
      </c>
      <c r="C73" t="s">
        <v>34</v>
      </c>
      <c r="D73">
        <v>79</v>
      </c>
      <c r="E73">
        <v>184669.5</v>
      </c>
      <c r="F73">
        <v>14588890.5</v>
      </c>
      <c r="G73" s="1">
        <v>45365</v>
      </c>
      <c r="H73" t="s">
        <v>11</v>
      </c>
      <c r="I73" t="s">
        <v>178</v>
      </c>
    </row>
    <row r="74" spans="1:9" x14ac:dyDescent="0.35">
      <c r="A74" t="s">
        <v>179</v>
      </c>
      <c r="B74" t="s">
        <v>35</v>
      </c>
      <c r="C74" t="s">
        <v>43</v>
      </c>
      <c r="D74">
        <v>11</v>
      </c>
      <c r="E74">
        <v>280903.26</v>
      </c>
      <c r="F74">
        <v>3089935.86</v>
      </c>
      <c r="G74" s="1">
        <v>45244</v>
      </c>
      <c r="H74" t="s">
        <v>8</v>
      </c>
      <c r="I74" t="s">
        <v>180</v>
      </c>
    </row>
    <row r="75" spans="1:9" x14ac:dyDescent="0.35">
      <c r="A75" t="s">
        <v>181</v>
      </c>
      <c r="B75" t="s">
        <v>55</v>
      </c>
      <c r="C75" t="s">
        <v>13</v>
      </c>
      <c r="D75">
        <v>33</v>
      </c>
      <c r="E75">
        <v>266767.88</v>
      </c>
      <c r="F75">
        <v>8803340.0399999991</v>
      </c>
      <c r="G75" s="1">
        <v>45423</v>
      </c>
      <c r="H75" t="s">
        <v>18</v>
      </c>
    </row>
    <row r="76" spans="1:9" x14ac:dyDescent="0.35">
      <c r="A76" t="s">
        <v>182</v>
      </c>
      <c r="B76" t="s">
        <v>62</v>
      </c>
      <c r="C76" t="s">
        <v>34</v>
      </c>
      <c r="D76">
        <v>16</v>
      </c>
      <c r="E76">
        <v>201771.08</v>
      </c>
      <c r="F76">
        <v>3228337.28</v>
      </c>
      <c r="G76" s="1">
        <v>45379</v>
      </c>
      <c r="H76" t="s">
        <v>18</v>
      </c>
      <c r="I76" t="s">
        <v>183</v>
      </c>
    </row>
    <row r="77" spans="1:9" x14ac:dyDescent="0.35">
      <c r="A77" t="s">
        <v>184</v>
      </c>
      <c r="B77" t="s">
        <v>47</v>
      </c>
      <c r="C77" t="s">
        <v>27</v>
      </c>
      <c r="D77">
        <v>59</v>
      </c>
      <c r="E77">
        <v>13748.9</v>
      </c>
      <c r="F77">
        <v>811185.1</v>
      </c>
      <c r="G77" s="1">
        <v>45513</v>
      </c>
      <c r="H77" t="s">
        <v>18</v>
      </c>
      <c r="I77" t="s">
        <v>185</v>
      </c>
    </row>
    <row r="78" spans="1:9" x14ac:dyDescent="0.35">
      <c r="A78" t="s">
        <v>186</v>
      </c>
      <c r="B78" t="s">
        <v>20</v>
      </c>
      <c r="C78" t="s">
        <v>34</v>
      </c>
      <c r="D78">
        <v>55</v>
      </c>
      <c r="E78">
        <v>298048.28999999998</v>
      </c>
      <c r="F78">
        <v>16392655.949999999</v>
      </c>
      <c r="G78" s="1">
        <v>45751</v>
      </c>
      <c r="H78" t="s">
        <v>28</v>
      </c>
      <c r="I78" t="s">
        <v>187</v>
      </c>
    </row>
    <row r="79" spans="1:9" x14ac:dyDescent="0.35">
      <c r="A79" t="s">
        <v>188</v>
      </c>
      <c r="B79" t="s">
        <v>33</v>
      </c>
      <c r="C79" t="s">
        <v>56</v>
      </c>
      <c r="D79">
        <v>54</v>
      </c>
      <c r="E79">
        <v>173045.05</v>
      </c>
      <c r="F79">
        <v>9344432.6999999993</v>
      </c>
      <c r="G79" s="1">
        <v>45375</v>
      </c>
      <c r="H79" t="s">
        <v>11</v>
      </c>
      <c r="I79" t="s">
        <v>189</v>
      </c>
    </row>
    <row r="80" spans="1:9" x14ac:dyDescent="0.35">
      <c r="A80" t="s">
        <v>190</v>
      </c>
      <c r="B80" t="s">
        <v>81</v>
      </c>
      <c r="C80" t="s">
        <v>13</v>
      </c>
      <c r="D80">
        <v>71</v>
      </c>
      <c r="E80">
        <v>262939.37</v>
      </c>
      <c r="F80">
        <v>18668695.27</v>
      </c>
      <c r="G80" s="1">
        <v>45736</v>
      </c>
      <c r="I80" t="s">
        <v>191</v>
      </c>
    </row>
    <row r="81" spans="1:9" x14ac:dyDescent="0.35">
      <c r="A81" t="s">
        <v>192</v>
      </c>
      <c r="B81" t="s">
        <v>72</v>
      </c>
      <c r="C81" t="s">
        <v>13</v>
      </c>
      <c r="D81">
        <v>18</v>
      </c>
      <c r="E81">
        <v>166977.26999999999</v>
      </c>
      <c r="F81">
        <v>3005590.86</v>
      </c>
      <c r="G81" s="1">
        <v>45726</v>
      </c>
      <c r="H81" t="s">
        <v>8</v>
      </c>
      <c r="I81" t="s">
        <v>193</v>
      </c>
    </row>
    <row r="82" spans="1:9" x14ac:dyDescent="0.35">
      <c r="A82" t="s">
        <v>194</v>
      </c>
      <c r="B82" t="s">
        <v>37</v>
      </c>
      <c r="C82" t="s">
        <v>13</v>
      </c>
      <c r="D82">
        <v>26</v>
      </c>
      <c r="E82">
        <v>55571.75</v>
      </c>
      <c r="F82">
        <v>1444865.5</v>
      </c>
      <c r="G82" s="1">
        <v>45525</v>
      </c>
      <c r="H82" t="s">
        <v>11</v>
      </c>
      <c r="I82" t="s">
        <v>195</v>
      </c>
    </row>
    <row r="83" spans="1:9" x14ac:dyDescent="0.35">
      <c r="A83" t="s">
        <v>196</v>
      </c>
      <c r="B83" t="s">
        <v>33</v>
      </c>
      <c r="C83" t="s">
        <v>10</v>
      </c>
      <c r="D83">
        <v>26</v>
      </c>
      <c r="E83">
        <v>161609.51999999999</v>
      </c>
      <c r="F83">
        <v>4201847.5199999996</v>
      </c>
      <c r="G83" s="1">
        <v>45606</v>
      </c>
      <c r="H83" t="s">
        <v>11</v>
      </c>
      <c r="I83" t="s">
        <v>197</v>
      </c>
    </row>
    <row r="84" spans="1:9" x14ac:dyDescent="0.35">
      <c r="A84" t="s">
        <v>198</v>
      </c>
      <c r="B84" t="s">
        <v>35</v>
      </c>
      <c r="C84" t="s">
        <v>27</v>
      </c>
      <c r="D84">
        <v>33</v>
      </c>
      <c r="E84">
        <v>43733.35</v>
      </c>
      <c r="F84">
        <v>1443200.55</v>
      </c>
      <c r="G84" s="1">
        <v>45771</v>
      </c>
      <c r="H84" t="s">
        <v>28</v>
      </c>
      <c r="I84" t="s">
        <v>199</v>
      </c>
    </row>
    <row r="85" spans="1:9" x14ac:dyDescent="0.35">
      <c r="A85" t="s">
        <v>200</v>
      </c>
      <c r="B85" t="s">
        <v>26</v>
      </c>
      <c r="C85" t="s">
        <v>34</v>
      </c>
      <c r="D85">
        <v>46</v>
      </c>
      <c r="E85">
        <v>17758.37</v>
      </c>
      <c r="F85">
        <v>816885.02</v>
      </c>
      <c r="G85" s="1">
        <v>45756</v>
      </c>
      <c r="H85" t="s">
        <v>11</v>
      </c>
      <c r="I85" t="s">
        <v>201</v>
      </c>
    </row>
    <row r="86" spans="1:9" x14ac:dyDescent="0.35">
      <c r="B86" t="s">
        <v>24</v>
      </c>
      <c r="C86" t="s">
        <v>56</v>
      </c>
      <c r="D86">
        <v>35</v>
      </c>
      <c r="E86">
        <v>125244.11</v>
      </c>
      <c r="F86">
        <v>4383543.8499999996</v>
      </c>
      <c r="G86" s="1">
        <v>45306</v>
      </c>
      <c r="H86" t="s">
        <v>18</v>
      </c>
    </row>
    <row r="87" spans="1:9" x14ac:dyDescent="0.35">
      <c r="A87" t="s">
        <v>202</v>
      </c>
      <c r="B87" t="s">
        <v>55</v>
      </c>
      <c r="C87" t="s">
        <v>10</v>
      </c>
      <c r="D87">
        <v>44</v>
      </c>
      <c r="E87">
        <v>99413.77</v>
      </c>
      <c r="F87">
        <v>4374205.88</v>
      </c>
      <c r="G87" s="1">
        <v>45203</v>
      </c>
      <c r="H87" t="s">
        <v>28</v>
      </c>
      <c r="I87" t="s">
        <v>203</v>
      </c>
    </row>
    <row r="88" spans="1:9" x14ac:dyDescent="0.35">
      <c r="A88" t="s">
        <v>204</v>
      </c>
      <c r="B88" t="s">
        <v>22</v>
      </c>
      <c r="C88" t="s">
        <v>43</v>
      </c>
      <c r="D88">
        <v>55</v>
      </c>
      <c r="E88">
        <v>160922.84</v>
      </c>
      <c r="F88">
        <v>8850756.1999999993</v>
      </c>
      <c r="G88" s="1">
        <v>45443</v>
      </c>
      <c r="I88" t="s">
        <v>205</v>
      </c>
    </row>
    <row r="89" spans="1:9" x14ac:dyDescent="0.35">
      <c r="B89" t="s">
        <v>20</v>
      </c>
      <c r="C89" t="s">
        <v>17</v>
      </c>
      <c r="D89">
        <v>14</v>
      </c>
      <c r="E89">
        <v>181688.35</v>
      </c>
      <c r="F89">
        <v>2543636.9</v>
      </c>
      <c r="G89" s="1">
        <v>45276</v>
      </c>
      <c r="H89" t="s">
        <v>28</v>
      </c>
      <c r="I89" t="s">
        <v>206</v>
      </c>
    </row>
    <row r="90" spans="1:9" x14ac:dyDescent="0.35">
      <c r="A90" t="s">
        <v>207</v>
      </c>
      <c r="B90" t="s">
        <v>22</v>
      </c>
      <c r="C90" t="s">
        <v>43</v>
      </c>
      <c r="D90">
        <v>58</v>
      </c>
      <c r="E90">
        <v>65496.45</v>
      </c>
      <c r="F90">
        <v>3798794.1</v>
      </c>
      <c r="G90" s="1">
        <v>45795</v>
      </c>
      <c r="H90" t="s">
        <v>8</v>
      </c>
      <c r="I90" t="s">
        <v>208</v>
      </c>
    </row>
    <row r="91" spans="1:9" x14ac:dyDescent="0.35">
      <c r="A91" t="s">
        <v>209</v>
      </c>
      <c r="B91" t="s">
        <v>26</v>
      </c>
      <c r="C91" t="s">
        <v>56</v>
      </c>
      <c r="D91">
        <v>8</v>
      </c>
      <c r="E91">
        <v>272743.75</v>
      </c>
      <c r="F91">
        <v>2181950</v>
      </c>
      <c r="G91" s="1">
        <v>45166</v>
      </c>
      <c r="H91" t="s">
        <v>11</v>
      </c>
      <c r="I91" t="s">
        <v>210</v>
      </c>
    </row>
    <row r="92" spans="1:9" x14ac:dyDescent="0.35">
      <c r="A92" t="s">
        <v>211</v>
      </c>
      <c r="B92" t="s">
        <v>66</v>
      </c>
      <c r="C92" t="s">
        <v>13</v>
      </c>
      <c r="D92">
        <v>87</v>
      </c>
      <c r="E92">
        <v>222571.82</v>
      </c>
      <c r="F92">
        <v>19363748.34</v>
      </c>
      <c r="G92" s="1">
        <v>45279</v>
      </c>
      <c r="H92" t="s">
        <v>28</v>
      </c>
    </row>
    <row r="93" spans="1:9" x14ac:dyDescent="0.35">
      <c r="A93" t="s">
        <v>212</v>
      </c>
      <c r="B93" t="s">
        <v>33</v>
      </c>
      <c r="C93" t="s">
        <v>27</v>
      </c>
      <c r="D93">
        <v>4</v>
      </c>
      <c r="E93">
        <v>224190.33</v>
      </c>
      <c r="F93">
        <v>896761.32</v>
      </c>
      <c r="G93" s="1">
        <v>45553</v>
      </c>
      <c r="H93" t="s">
        <v>11</v>
      </c>
      <c r="I93" t="s">
        <v>213</v>
      </c>
    </row>
    <row r="94" spans="1:9" x14ac:dyDescent="0.35">
      <c r="A94" t="s">
        <v>214</v>
      </c>
      <c r="B94" t="s">
        <v>20</v>
      </c>
      <c r="C94" t="s">
        <v>56</v>
      </c>
      <c r="D94">
        <v>57</v>
      </c>
      <c r="E94">
        <v>274375.17</v>
      </c>
      <c r="F94">
        <v>15639384.689999999</v>
      </c>
      <c r="G94" s="1">
        <v>45632</v>
      </c>
      <c r="H94" t="s">
        <v>18</v>
      </c>
      <c r="I94" t="s">
        <v>215</v>
      </c>
    </row>
    <row r="95" spans="1:9" x14ac:dyDescent="0.35">
      <c r="A95" t="s">
        <v>216</v>
      </c>
      <c r="B95" t="s">
        <v>66</v>
      </c>
      <c r="C95" t="s">
        <v>10</v>
      </c>
      <c r="D95">
        <v>17</v>
      </c>
      <c r="E95">
        <v>208840.07</v>
      </c>
      <c r="F95">
        <v>3550281.19</v>
      </c>
      <c r="G95" s="1">
        <v>45489</v>
      </c>
      <c r="H95" t="s">
        <v>18</v>
      </c>
      <c r="I95" t="s">
        <v>217</v>
      </c>
    </row>
    <row r="96" spans="1:9" x14ac:dyDescent="0.35">
      <c r="A96" t="s">
        <v>218</v>
      </c>
      <c r="B96" t="s">
        <v>24</v>
      </c>
      <c r="C96" t="s">
        <v>27</v>
      </c>
      <c r="D96">
        <v>98</v>
      </c>
      <c r="E96">
        <v>194792.04</v>
      </c>
      <c r="F96">
        <v>19089619.920000002</v>
      </c>
      <c r="G96" s="1">
        <v>45383</v>
      </c>
      <c r="H96" t="s">
        <v>8</v>
      </c>
      <c r="I96" t="s">
        <v>219</v>
      </c>
    </row>
    <row r="97" spans="1:9" x14ac:dyDescent="0.35">
      <c r="A97" t="s">
        <v>220</v>
      </c>
      <c r="B97" t="s">
        <v>9</v>
      </c>
      <c r="C97" t="s">
        <v>34</v>
      </c>
      <c r="D97">
        <v>74</v>
      </c>
      <c r="E97">
        <v>92872.47</v>
      </c>
      <c r="F97">
        <v>6872562.7800000003</v>
      </c>
      <c r="G97" s="1">
        <v>45542</v>
      </c>
      <c r="H97" t="s">
        <v>18</v>
      </c>
      <c r="I97" t="s">
        <v>221</v>
      </c>
    </row>
    <row r="98" spans="1:9" x14ac:dyDescent="0.35">
      <c r="A98" t="s">
        <v>222</v>
      </c>
      <c r="B98" t="s">
        <v>14</v>
      </c>
      <c r="C98" t="s">
        <v>56</v>
      </c>
      <c r="D98">
        <v>32</v>
      </c>
      <c r="E98">
        <v>240943.58</v>
      </c>
      <c r="F98">
        <v>7710194.5599999996</v>
      </c>
      <c r="G98" s="1">
        <v>45791</v>
      </c>
      <c r="H98" t="s">
        <v>18</v>
      </c>
      <c r="I98" t="s">
        <v>223</v>
      </c>
    </row>
    <row r="99" spans="1:9" x14ac:dyDescent="0.35">
      <c r="A99" t="s">
        <v>224</v>
      </c>
      <c r="B99" t="s">
        <v>62</v>
      </c>
      <c r="C99" t="s">
        <v>17</v>
      </c>
      <c r="D99">
        <v>72</v>
      </c>
      <c r="E99">
        <v>96409.87</v>
      </c>
      <c r="F99">
        <v>6941510.6399999997</v>
      </c>
      <c r="G99" s="1">
        <v>45742</v>
      </c>
      <c r="H99" t="s">
        <v>8</v>
      </c>
      <c r="I99" t="s">
        <v>225</v>
      </c>
    </row>
    <row r="100" spans="1:9" x14ac:dyDescent="0.35">
      <c r="A100" t="s">
        <v>226</v>
      </c>
      <c r="B100" t="s">
        <v>47</v>
      </c>
      <c r="C100" t="s">
        <v>13</v>
      </c>
      <c r="D100">
        <v>63</v>
      </c>
      <c r="E100">
        <v>222505.09</v>
      </c>
      <c r="F100">
        <v>14017820.67</v>
      </c>
      <c r="G100" s="1">
        <v>45267</v>
      </c>
      <c r="I100" t="s">
        <v>227</v>
      </c>
    </row>
    <row r="101" spans="1:9" x14ac:dyDescent="0.35">
      <c r="A101" t="s">
        <v>228</v>
      </c>
      <c r="B101" t="s">
        <v>66</v>
      </c>
      <c r="C101" t="s">
        <v>10</v>
      </c>
      <c r="D101">
        <v>16</v>
      </c>
      <c r="E101">
        <v>5357.86</v>
      </c>
      <c r="F101">
        <v>85725.759999999995</v>
      </c>
      <c r="G101" s="1">
        <v>45309</v>
      </c>
      <c r="H101" t="s">
        <v>18</v>
      </c>
      <c r="I101" t="s">
        <v>229</v>
      </c>
    </row>
    <row r="102" spans="1:9" x14ac:dyDescent="0.35">
      <c r="A102" t="s">
        <v>230</v>
      </c>
      <c r="B102" t="s">
        <v>14</v>
      </c>
      <c r="C102" t="s">
        <v>56</v>
      </c>
      <c r="D102">
        <v>57</v>
      </c>
      <c r="E102">
        <v>175417.55</v>
      </c>
      <c r="F102">
        <v>9998800.3499999996</v>
      </c>
      <c r="G102" s="1">
        <v>45349</v>
      </c>
      <c r="H102" t="s">
        <v>28</v>
      </c>
      <c r="I102" t="s">
        <v>231</v>
      </c>
    </row>
    <row r="103" spans="1:9" x14ac:dyDescent="0.35">
      <c r="A103" t="s">
        <v>232</v>
      </c>
      <c r="B103" t="s">
        <v>62</v>
      </c>
      <c r="C103" t="s">
        <v>15</v>
      </c>
      <c r="D103">
        <v>91</v>
      </c>
      <c r="E103">
        <v>59259.44</v>
      </c>
      <c r="F103">
        <v>5392609.04</v>
      </c>
      <c r="G103" s="1">
        <v>45716</v>
      </c>
      <c r="H103" t="s">
        <v>11</v>
      </c>
      <c r="I103" t="s">
        <v>233</v>
      </c>
    </row>
    <row r="104" spans="1:9" x14ac:dyDescent="0.35">
      <c r="A104" t="s">
        <v>234</v>
      </c>
      <c r="B104" t="s">
        <v>235</v>
      </c>
      <c r="C104" t="s">
        <v>10</v>
      </c>
      <c r="D104">
        <v>29</v>
      </c>
      <c r="E104">
        <v>101600.5</v>
      </c>
      <c r="F104">
        <v>2946414.5</v>
      </c>
      <c r="G104" s="1">
        <v>45364</v>
      </c>
      <c r="H104" t="s">
        <v>18</v>
      </c>
      <c r="I104" t="s">
        <v>236</v>
      </c>
    </row>
    <row r="105" spans="1:9" x14ac:dyDescent="0.35">
      <c r="A105" t="s">
        <v>237</v>
      </c>
      <c r="B105" t="s">
        <v>22</v>
      </c>
      <c r="C105" t="s">
        <v>10</v>
      </c>
      <c r="D105">
        <v>26</v>
      </c>
      <c r="E105">
        <v>229126.51</v>
      </c>
      <c r="F105">
        <v>5957289.2599999998</v>
      </c>
      <c r="G105" s="1">
        <v>45490</v>
      </c>
      <c r="H105" t="s">
        <v>11</v>
      </c>
      <c r="I105" t="s">
        <v>238</v>
      </c>
    </row>
    <row r="106" spans="1:9" x14ac:dyDescent="0.35">
      <c r="A106" t="s">
        <v>239</v>
      </c>
      <c r="B106" t="s">
        <v>52</v>
      </c>
      <c r="C106" t="s">
        <v>13</v>
      </c>
      <c r="D106">
        <v>71</v>
      </c>
      <c r="E106">
        <v>219965.28</v>
      </c>
      <c r="F106">
        <v>15617534.880000001</v>
      </c>
      <c r="G106" s="1">
        <v>45735</v>
      </c>
      <c r="H106" t="s">
        <v>8</v>
      </c>
      <c r="I106" t="s">
        <v>240</v>
      </c>
    </row>
    <row r="107" spans="1:9" x14ac:dyDescent="0.35">
      <c r="A107" t="s">
        <v>241</v>
      </c>
      <c r="B107" t="s">
        <v>49</v>
      </c>
      <c r="C107" t="s">
        <v>10</v>
      </c>
      <c r="D107">
        <v>79</v>
      </c>
      <c r="E107">
        <v>105976.76</v>
      </c>
      <c r="F107">
        <v>8372164.04</v>
      </c>
      <c r="G107" s="1">
        <v>45678</v>
      </c>
      <c r="H107" t="s">
        <v>8</v>
      </c>
      <c r="I107" t="s">
        <v>242</v>
      </c>
    </row>
    <row r="108" spans="1:9" x14ac:dyDescent="0.35">
      <c r="A108" t="s">
        <v>243</v>
      </c>
      <c r="B108" t="s">
        <v>66</v>
      </c>
      <c r="C108" t="s">
        <v>56</v>
      </c>
      <c r="D108">
        <v>74</v>
      </c>
      <c r="E108">
        <v>297101.90000000002</v>
      </c>
      <c r="F108">
        <v>21985540.600000001</v>
      </c>
      <c r="G108" s="1">
        <v>45539</v>
      </c>
      <c r="H108" t="s">
        <v>28</v>
      </c>
      <c r="I108" t="s">
        <v>244</v>
      </c>
    </row>
    <row r="109" spans="1:9" x14ac:dyDescent="0.35">
      <c r="A109" t="s">
        <v>245</v>
      </c>
      <c r="B109" t="s">
        <v>24</v>
      </c>
      <c r="C109" t="s">
        <v>15</v>
      </c>
      <c r="D109">
        <v>83</v>
      </c>
      <c r="E109">
        <v>157421.35</v>
      </c>
      <c r="F109">
        <v>13065972.050000001</v>
      </c>
      <c r="G109" s="1">
        <v>45813</v>
      </c>
      <c r="H109" t="s">
        <v>11</v>
      </c>
      <c r="I109" t="s">
        <v>246</v>
      </c>
    </row>
    <row r="110" spans="1:9" x14ac:dyDescent="0.35">
      <c r="A110" t="s">
        <v>247</v>
      </c>
      <c r="B110" t="s">
        <v>33</v>
      </c>
      <c r="C110" t="s">
        <v>43</v>
      </c>
      <c r="D110">
        <v>24</v>
      </c>
      <c r="E110">
        <v>2411.96</v>
      </c>
      <c r="F110">
        <v>57887.040000000001</v>
      </c>
      <c r="G110" s="1">
        <v>45231</v>
      </c>
      <c r="H110" t="s">
        <v>8</v>
      </c>
      <c r="I110" t="s">
        <v>248</v>
      </c>
    </row>
    <row r="111" spans="1:9" x14ac:dyDescent="0.35">
      <c r="B111" t="s">
        <v>26</v>
      </c>
      <c r="C111" t="s">
        <v>13</v>
      </c>
      <c r="D111">
        <v>8</v>
      </c>
      <c r="E111">
        <v>189395.14</v>
      </c>
      <c r="F111">
        <v>1515161.12</v>
      </c>
      <c r="G111" s="1">
        <v>45150</v>
      </c>
      <c r="H111" t="s">
        <v>28</v>
      </c>
      <c r="I111" t="s">
        <v>249</v>
      </c>
    </row>
    <row r="112" spans="1:9" x14ac:dyDescent="0.35">
      <c r="A112" t="s">
        <v>250</v>
      </c>
      <c r="B112" t="s">
        <v>24</v>
      </c>
      <c r="C112" t="s">
        <v>15</v>
      </c>
      <c r="D112">
        <v>67</v>
      </c>
      <c r="E112">
        <v>20856.400000000001</v>
      </c>
      <c r="F112">
        <v>1397378.8</v>
      </c>
      <c r="G112" s="1">
        <v>45341</v>
      </c>
      <c r="H112" t="s">
        <v>8</v>
      </c>
      <c r="I112" t="s">
        <v>251</v>
      </c>
    </row>
    <row r="113" spans="1:9" x14ac:dyDescent="0.35">
      <c r="A113" t="s">
        <v>252</v>
      </c>
      <c r="B113" t="s">
        <v>9</v>
      </c>
      <c r="C113" t="s">
        <v>17</v>
      </c>
      <c r="D113">
        <v>39</v>
      </c>
      <c r="E113">
        <v>45733.38</v>
      </c>
      <c r="F113">
        <v>1783601.82</v>
      </c>
      <c r="G113" s="1">
        <v>45672</v>
      </c>
      <c r="H113" t="s">
        <v>18</v>
      </c>
      <c r="I113" t="s">
        <v>253</v>
      </c>
    </row>
    <row r="114" spans="1:9" x14ac:dyDescent="0.35">
      <c r="A114" t="s">
        <v>254</v>
      </c>
      <c r="B114" t="s">
        <v>22</v>
      </c>
      <c r="C114" t="s">
        <v>13</v>
      </c>
      <c r="D114">
        <v>91</v>
      </c>
      <c r="E114">
        <v>137074.89000000001</v>
      </c>
      <c r="F114">
        <v>12473814.99</v>
      </c>
      <c r="G114" s="1">
        <v>45387</v>
      </c>
      <c r="H114" t="s">
        <v>28</v>
      </c>
      <c r="I114" t="s">
        <v>255</v>
      </c>
    </row>
    <row r="115" spans="1:9" x14ac:dyDescent="0.35">
      <c r="A115" t="s">
        <v>256</v>
      </c>
      <c r="B115" t="s">
        <v>66</v>
      </c>
      <c r="C115" t="s">
        <v>17</v>
      </c>
      <c r="D115">
        <v>37</v>
      </c>
      <c r="E115">
        <v>18604.810000000001</v>
      </c>
      <c r="F115">
        <v>688377.97</v>
      </c>
      <c r="G115" s="1">
        <v>45461</v>
      </c>
      <c r="H115" t="s">
        <v>8</v>
      </c>
      <c r="I115" t="s">
        <v>257</v>
      </c>
    </row>
    <row r="116" spans="1:9" x14ac:dyDescent="0.35">
      <c r="A116" t="s">
        <v>258</v>
      </c>
      <c r="B116" t="s">
        <v>24</v>
      </c>
      <c r="C116" t="s">
        <v>43</v>
      </c>
      <c r="D116">
        <v>33</v>
      </c>
      <c r="E116">
        <v>191499.71</v>
      </c>
      <c r="F116">
        <v>6319490.4299999997</v>
      </c>
      <c r="G116" s="1">
        <v>45627</v>
      </c>
      <c r="H116" t="s">
        <v>8</v>
      </c>
    </row>
    <row r="117" spans="1:9" x14ac:dyDescent="0.35">
      <c r="A117" t="s">
        <v>259</v>
      </c>
      <c r="B117" t="s">
        <v>55</v>
      </c>
      <c r="C117" t="s">
        <v>15</v>
      </c>
      <c r="D117">
        <v>36</v>
      </c>
      <c r="E117">
        <v>273869.06</v>
      </c>
      <c r="F117">
        <v>9859286.1600000001</v>
      </c>
      <c r="G117" s="1">
        <v>45698</v>
      </c>
      <c r="H117" t="s">
        <v>28</v>
      </c>
      <c r="I117" t="s">
        <v>260</v>
      </c>
    </row>
    <row r="118" spans="1:9" x14ac:dyDescent="0.35">
      <c r="B118" t="s">
        <v>112</v>
      </c>
      <c r="C118" t="s">
        <v>15</v>
      </c>
      <c r="D118">
        <v>83</v>
      </c>
      <c r="E118">
        <v>123695.88</v>
      </c>
      <c r="F118">
        <v>10266758.039999999</v>
      </c>
      <c r="G118" s="1">
        <v>45761</v>
      </c>
      <c r="I118" t="s">
        <v>261</v>
      </c>
    </row>
    <row r="119" spans="1:9" x14ac:dyDescent="0.35">
      <c r="A119" t="s">
        <v>262</v>
      </c>
      <c r="B119" t="s">
        <v>72</v>
      </c>
      <c r="C119" t="s">
        <v>34</v>
      </c>
      <c r="D119">
        <v>6</v>
      </c>
      <c r="E119">
        <v>150913.70000000001</v>
      </c>
      <c r="F119">
        <v>905482.2</v>
      </c>
      <c r="G119" s="1">
        <v>45328</v>
      </c>
      <c r="H119" t="s">
        <v>11</v>
      </c>
      <c r="I119" t="s">
        <v>263</v>
      </c>
    </row>
    <row r="120" spans="1:9" x14ac:dyDescent="0.35">
      <c r="A120" t="s">
        <v>264</v>
      </c>
      <c r="B120" t="s">
        <v>22</v>
      </c>
      <c r="C120" t="s">
        <v>17</v>
      </c>
      <c r="D120">
        <v>11</v>
      </c>
      <c r="E120">
        <v>209508.79</v>
      </c>
      <c r="F120">
        <v>2304596.69</v>
      </c>
      <c r="G120" s="1">
        <v>45224</v>
      </c>
      <c r="H120" t="s">
        <v>8</v>
      </c>
      <c r="I120" t="s">
        <v>265</v>
      </c>
    </row>
    <row r="121" spans="1:9" x14ac:dyDescent="0.35">
      <c r="A121" t="s">
        <v>266</v>
      </c>
      <c r="B121" t="s">
        <v>62</v>
      </c>
      <c r="C121" t="s">
        <v>34</v>
      </c>
      <c r="D121">
        <v>62</v>
      </c>
      <c r="E121">
        <v>76099.25</v>
      </c>
      <c r="F121">
        <v>4718153.5</v>
      </c>
      <c r="G121" s="1">
        <v>45821</v>
      </c>
      <c r="H121" t="s">
        <v>8</v>
      </c>
      <c r="I121" t="s">
        <v>267</v>
      </c>
    </row>
    <row r="122" spans="1:9" x14ac:dyDescent="0.35">
      <c r="A122" t="s">
        <v>268</v>
      </c>
      <c r="B122" t="s">
        <v>72</v>
      </c>
      <c r="C122" t="s">
        <v>34</v>
      </c>
      <c r="D122">
        <v>8</v>
      </c>
      <c r="E122">
        <v>287809.69</v>
      </c>
      <c r="F122">
        <v>2302477.52</v>
      </c>
      <c r="G122" s="1">
        <v>45298</v>
      </c>
      <c r="H122" t="s">
        <v>28</v>
      </c>
      <c r="I122" t="s">
        <v>269</v>
      </c>
    </row>
    <row r="123" spans="1:9" x14ac:dyDescent="0.35">
      <c r="A123" t="s">
        <v>270</v>
      </c>
      <c r="B123" t="s">
        <v>37</v>
      </c>
      <c r="C123" t="s">
        <v>10</v>
      </c>
      <c r="D123">
        <v>78</v>
      </c>
      <c r="E123">
        <v>209322.28</v>
      </c>
      <c r="F123">
        <v>16327137.84</v>
      </c>
      <c r="G123" s="1">
        <v>45374</v>
      </c>
      <c r="H123" t="s">
        <v>8</v>
      </c>
      <c r="I123" t="s">
        <v>271</v>
      </c>
    </row>
    <row r="124" spans="1:9" x14ac:dyDescent="0.35">
      <c r="A124" t="s">
        <v>272</v>
      </c>
      <c r="B124" t="s">
        <v>23</v>
      </c>
      <c r="C124" t="s">
        <v>13</v>
      </c>
      <c r="D124">
        <v>58</v>
      </c>
      <c r="E124">
        <v>113462.29</v>
      </c>
      <c r="F124">
        <v>6580812.8200000003</v>
      </c>
      <c r="G124" s="1">
        <v>45839</v>
      </c>
      <c r="H124" t="s">
        <v>28</v>
      </c>
      <c r="I124" t="s">
        <v>273</v>
      </c>
    </row>
    <row r="125" spans="1:9" x14ac:dyDescent="0.35">
      <c r="A125" t="s">
        <v>274</v>
      </c>
      <c r="B125" t="s">
        <v>72</v>
      </c>
      <c r="C125" t="s">
        <v>27</v>
      </c>
      <c r="D125">
        <v>19</v>
      </c>
      <c r="E125">
        <v>143063.53</v>
      </c>
      <c r="F125">
        <v>2718207.07</v>
      </c>
      <c r="G125" s="1">
        <v>45240</v>
      </c>
      <c r="H125" t="s">
        <v>18</v>
      </c>
      <c r="I125" t="s">
        <v>275</v>
      </c>
    </row>
    <row r="126" spans="1:9" x14ac:dyDescent="0.35">
      <c r="A126" t="s">
        <v>276</v>
      </c>
      <c r="B126" t="s">
        <v>55</v>
      </c>
      <c r="C126" t="s">
        <v>43</v>
      </c>
      <c r="D126">
        <v>54</v>
      </c>
      <c r="E126">
        <v>25264.49</v>
      </c>
      <c r="F126">
        <v>1364282.46</v>
      </c>
      <c r="G126" s="1">
        <v>45844</v>
      </c>
      <c r="H126" t="s">
        <v>28</v>
      </c>
      <c r="I126" t="s">
        <v>277</v>
      </c>
    </row>
    <row r="127" spans="1:9" x14ac:dyDescent="0.35">
      <c r="A127" t="s">
        <v>278</v>
      </c>
      <c r="B127" t="s">
        <v>72</v>
      </c>
      <c r="C127" t="s">
        <v>43</v>
      </c>
      <c r="D127">
        <v>41</v>
      </c>
      <c r="E127">
        <v>99715.55</v>
      </c>
      <c r="F127">
        <v>4088337.55</v>
      </c>
      <c r="G127" s="1">
        <v>45487</v>
      </c>
      <c r="H127" t="s">
        <v>28</v>
      </c>
      <c r="I127" t="s">
        <v>279</v>
      </c>
    </row>
    <row r="128" spans="1:9" x14ac:dyDescent="0.35">
      <c r="A128" t="s">
        <v>280</v>
      </c>
      <c r="B128" t="s">
        <v>14</v>
      </c>
      <c r="C128" t="s">
        <v>56</v>
      </c>
      <c r="D128">
        <v>98</v>
      </c>
      <c r="E128">
        <v>293210.09999999998</v>
      </c>
      <c r="F128">
        <v>28734589.800000001</v>
      </c>
      <c r="G128" s="1">
        <v>45488</v>
      </c>
      <c r="H128" t="s">
        <v>8</v>
      </c>
      <c r="I128" t="s">
        <v>281</v>
      </c>
    </row>
    <row r="129" spans="1:9" x14ac:dyDescent="0.35">
      <c r="A129" t="s">
        <v>282</v>
      </c>
      <c r="B129" t="s">
        <v>26</v>
      </c>
      <c r="C129" t="s">
        <v>34</v>
      </c>
      <c r="D129">
        <v>3</v>
      </c>
      <c r="E129">
        <v>275786.09000000003</v>
      </c>
      <c r="F129">
        <v>827358.27</v>
      </c>
      <c r="G129" s="1">
        <v>45341</v>
      </c>
      <c r="H129" t="s">
        <v>18</v>
      </c>
      <c r="I129" t="s">
        <v>283</v>
      </c>
    </row>
    <row r="130" spans="1:9" x14ac:dyDescent="0.35">
      <c r="A130" t="s">
        <v>284</v>
      </c>
      <c r="B130" t="s">
        <v>90</v>
      </c>
      <c r="C130" t="s">
        <v>43</v>
      </c>
      <c r="D130">
        <v>59</v>
      </c>
      <c r="E130">
        <v>270431.25</v>
      </c>
      <c r="F130">
        <v>15955443.75</v>
      </c>
      <c r="G130" s="1">
        <v>45339</v>
      </c>
      <c r="H130" t="s">
        <v>28</v>
      </c>
      <c r="I130" t="s">
        <v>285</v>
      </c>
    </row>
    <row r="131" spans="1:9" x14ac:dyDescent="0.35">
      <c r="A131" t="s">
        <v>286</v>
      </c>
      <c r="B131" t="s">
        <v>23</v>
      </c>
      <c r="C131" t="s">
        <v>27</v>
      </c>
      <c r="D131">
        <v>46</v>
      </c>
      <c r="E131">
        <v>170251.85</v>
      </c>
      <c r="F131">
        <v>7831585.0999999996</v>
      </c>
      <c r="G131" s="1">
        <v>45163</v>
      </c>
      <c r="H131" t="s">
        <v>11</v>
      </c>
      <c r="I131" t="s">
        <v>287</v>
      </c>
    </row>
    <row r="132" spans="1:9" x14ac:dyDescent="0.35">
      <c r="A132" t="s">
        <v>288</v>
      </c>
      <c r="B132" t="s">
        <v>235</v>
      </c>
      <c r="C132" t="s">
        <v>17</v>
      </c>
      <c r="D132">
        <v>69</v>
      </c>
      <c r="E132">
        <v>84471.72</v>
      </c>
      <c r="F132">
        <v>5828548.6799999997</v>
      </c>
      <c r="G132" s="1">
        <v>45563</v>
      </c>
      <c r="I132" t="s">
        <v>289</v>
      </c>
    </row>
    <row r="133" spans="1:9" x14ac:dyDescent="0.35">
      <c r="A133" t="s">
        <v>290</v>
      </c>
      <c r="B133" t="s">
        <v>9</v>
      </c>
      <c r="C133" t="s">
        <v>27</v>
      </c>
      <c r="D133">
        <v>47</v>
      </c>
      <c r="E133">
        <v>5189.6000000000004</v>
      </c>
      <c r="F133">
        <v>243911.2</v>
      </c>
      <c r="G133" s="1">
        <v>45778</v>
      </c>
      <c r="H133" t="s">
        <v>28</v>
      </c>
      <c r="I133" t="s">
        <v>291</v>
      </c>
    </row>
    <row r="134" spans="1:9" x14ac:dyDescent="0.35">
      <c r="A134" t="s">
        <v>292</v>
      </c>
      <c r="B134" t="s">
        <v>20</v>
      </c>
      <c r="C134" t="s">
        <v>10</v>
      </c>
      <c r="D134">
        <v>52</v>
      </c>
      <c r="E134">
        <v>62543.86</v>
      </c>
      <c r="F134">
        <v>3252280.72</v>
      </c>
      <c r="G134" s="1">
        <v>45845</v>
      </c>
      <c r="I134" t="s">
        <v>293</v>
      </c>
    </row>
    <row r="135" spans="1:9" x14ac:dyDescent="0.35">
      <c r="A135" t="s">
        <v>294</v>
      </c>
      <c r="B135" t="s">
        <v>20</v>
      </c>
      <c r="C135" t="s">
        <v>43</v>
      </c>
      <c r="D135">
        <v>16</v>
      </c>
      <c r="E135">
        <v>254908.01</v>
      </c>
      <c r="F135">
        <v>4078528.16</v>
      </c>
      <c r="G135" s="1">
        <v>45843</v>
      </c>
      <c r="H135" t="s">
        <v>18</v>
      </c>
      <c r="I135" t="s">
        <v>295</v>
      </c>
    </row>
    <row r="136" spans="1:9" x14ac:dyDescent="0.35">
      <c r="A136" t="s">
        <v>296</v>
      </c>
      <c r="B136" t="s">
        <v>35</v>
      </c>
      <c r="C136" t="s">
        <v>10</v>
      </c>
      <c r="D136">
        <v>97</v>
      </c>
      <c r="E136">
        <v>115461.94</v>
      </c>
      <c r="F136">
        <v>11199808.18</v>
      </c>
      <c r="G136" s="1">
        <v>45426</v>
      </c>
      <c r="I136" t="s">
        <v>297</v>
      </c>
    </row>
    <row r="137" spans="1:9" x14ac:dyDescent="0.35">
      <c r="A137" t="s">
        <v>298</v>
      </c>
      <c r="B137" t="s">
        <v>55</v>
      </c>
      <c r="C137" t="s">
        <v>13</v>
      </c>
      <c r="D137">
        <v>65</v>
      </c>
      <c r="E137">
        <v>206948.51</v>
      </c>
      <c r="F137">
        <v>13451653.15</v>
      </c>
      <c r="G137" s="1">
        <v>45262</v>
      </c>
      <c r="H137" t="s">
        <v>8</v>
      </c>
      <c r="I137" t="s">
        <v>299</v>
      </c>
    </row>
    <row r="138" spans="1:9" x14ac:dyDescent="0.35">
      <c r="A138" t="s">
        <v>300</v>
      </c>
      <c r="B138" t="s">
        <v>47</v>
      </c>
      <c r="C138" t="s">
        <v>43</v>
      </c>
      <c r="D138">
        <v>6</v>
      </c>
      <c r="E138">
        <v>23989.09</v>
      </c>
      <c r="F138">
        <v>143934.54</v>
      </c>
      <c r="G138" s="1">
        <v>45845</v>
      </c>
      <c r="H138" t="s">
        <v>11</v>
      </c>
      <c r="I138" t="s">
        <v>301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State</vt:lpstr>
      <vt:lpstr>product</vt:lpstr>
      <vt:lpstr>Monthly</vt:lpstr>
      <vt:lpstr>Channel</vt:lpstr>
      <vt:lpstr>nigeria_sales_dataset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ADESUWA</dc:creator>
  <cp:lastModifiedBy>yaraflygirl@outlook.com</cp:lastModifiedBy>
  <dcterms:created xsi:type="dcterms:W3CDTF">2026-10-12T12:35:47Z</dcterms:created>
  <dcterms:modified xsi:type="dcterms:W3CDTF">2026-10-12T19:42:23Z</dcterms:modified>
</cp:coreProperties>
</file>